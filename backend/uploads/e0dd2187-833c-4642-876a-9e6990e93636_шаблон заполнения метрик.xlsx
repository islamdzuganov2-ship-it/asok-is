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iga\projects\asok-is\"/>
    </mc:Choice>
  </mc:AlternateContent>
  <xr:revisionPtr revIDLastSave="0" documentId="8_{78D7CA18-5166-43B1-8D46-AC6DB4BA076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АТТЕСТАЦИОННЫЙ ЛИСТ" sheetId="2" r:id="rId1"/>
    <sheet name="ПРОФ СУЖДЕНИЕ О КАЧЕСТВЕ ИС" sheetId="3" r:id="rId2"/>
  </sheets>
  <definedNames>
    <definedName name="_xlnm.Print_Area" localSheetId="1">'ПРОФ СУЖДЕНИЕ О КАЧЕСТВЕ ИС'!$A$1:$G$45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8" i="2" l="1"/>
  <c r="E98" i="2"/>
</calcChain>
</file>

<file path=xl/sharedStrings.xml><?xml version="1.0" encoding="utf-8"?>
<sst xmlns="http://schemas.openxmlformats.org/spreadsheetml/2006/main" count="325" uniqueCount="243">
  <si>
    <t>АТТЕСТАЦИОННЫЙ ЛИСТ (по измерению качества информационной системы)</t>
  </si>
  <si>
    <t>(наименование ИС)</t>
  </si>
  <si>
    <t>Характеристика</t>
  </si>
  <si>
    <t>Подхарактеристика</t>
  </si>
  <si>
    <t>№</t>
  </si>
  <si>
    <t>Описание метрики</t>
  </si>
  <si>
    <t>Функция измерения</t>
  </si>
  <si>
    <t>Показатель качества</t>
  </si>
  <si>
    <t xml:space="preserve">Расчетные показатели- </t>
  </si>
  <si>
    <t>Источник получения информации</t>
  </si>
  <si>
    <t>Исполнитель Задачи</t>
  </si>
  <si>
    <t>Функциональная пригодность</t>
  </si>
  <si>
    <t xml:space="preserve">Функциональное покрытие </t>
  </si>
  <si>
    <t>Какая часть описанных функций была реализована</t>
  </si>
  <si>
    <t xml:space="preserve">X = 1 - A/B, </t>
  </si>
  <si>
    <t>А:                     В:</t>
  </si>
  <si>
    <t>Техническое задание  и Результат тестирования</t>
  </si>
  <si>
    <t>Тест-Аналитик</t>
  </si>
  <si>
    <t>где A - число нереализованных функций;</t>
  </si>
  <si>
    <t>B - число описанных функций в Техническом Задании</t>
  </si>
  <si>
    <t>Совместимость</t>
  </si>
  <si>
    <t>Совмещение с другими системами</t>
  </si>
  <si>
    <t>Выполнение Требований по интеграции с другими ИС</t>
  </si>
  <si>
    <t xml:space="preserve">X = A/B </t>
  </si>
  <si>
    <t>А:                      В:</t>
  </si>
  <si>
    <t>Концептуальный Дизайн и Интеграционные результаты тестирования</t>
  </si>
  <si>
    <t>где A - число ИС, с которыми рассматриваемая ИС  уже совмещена (интегрирована);</t>
  </si>
  <si>
    <t>B - число других ИС с которыми, рассматриваемая ИС должна быть совмещена (интегрирована)</t>
  </si>
  <si>
    <t>Надежность</t>
  </si>
  <si>
    <t>Коррекция ошибок</t>
  </si>
  <si>
    <t>Какая часть обнаруженных  на этапе  тестирования  ошибок была устранена?</t>
  </si>
  <si>
    <t>X = A/B,</t>
  </si>
  <si>
    <t>Система Управления Задачами</t>
  </si>
  <si>
    <t>Менеджер по качеству</t>
  </si>
  <si>
    <t>где A - число ошибок, устраненных этапе тестирования;</t>
  </si>
  <si>
    <t>B - число ошибок, обнаруженных тестирования</t>
  </si>
  <si>
    <t>Доступность системы и/или Технологических процессов (Простой+ Деградация)</t>
  </si>
  <si>
    <t>Сколько ИС была доступна исходя из требований к доступности системы (Значение показателя варьируется от 0 до бесконечности. Обычно наименьший показатель считается наилучшим)</t>
  </si>
  <si>
    <t xml:space="preserve">X = A/B,  </t>
  </si>
  <si>
    <t>Система Управления ИТ-Процессами</t>
  </si>
  <si>
    <t>где A - фактическое  время работы ИС  (общее время работы ИС за проверяемый период за исключением времени Тех сбоя); </t>
  </si>
  <si>
    <r>
      <rPr>
        <sz val="10.5"/>
        <rFont val="Times New Roman"/>
      </rPr>
      <t>B - запланированное время работы ИС</t>
    </r>
    <r>
      <rPr>
        <sz val="10.5"/>
        <color rgb="FF172B4D"/>
        <rFont val="Times New Roman"/>
      </rPr>
      <t xml:space="preserve">  </t>
    </r>
  </si>
  <si>
    <t>Среднее время восстановления</t>
  </si>
  <si>
    <t>Какое время требуется ИС для восстановления после Тех Сбоя (Простой + Деградация) Показатель качества устанавливается по функции измерения №2. При показателе качества более 1" применять в расчетах общего показателя качества "1"</t>
  </si>
  <si>
    <t>1)</t>
  </si>
  <si>
    <t>где Ai - суммарное время на восстановление ИС;</t>
  </si>
  <si>
    <t>n - число Тех.сбоев</t>
  </si>
  <si>
    <t>2) X= А/В</t>
  </si>
  <si>
    <t>где А-  RTO Время восстановления</t>
  </si>
  <si>
    <t>В- Среднее время восстановления</t>
  </si>
  <si>
    <t xml:space="preserve">Полнота резервной копии данных </t>
  </si>
  <si>
    <t xml:space="preserve">Соблюдение Графика копирования данных и проверка отсутствия ошибок копирования </t>
  </si>
  <si>
    <t xml:space="preserve">План Резервного копирования и логи о выполнении резервного копирования </t>
  </si>
  <si>
    <t>Системный администратор Отдела администрирования систем виртуализации и резервного копирования</t>
  </si>
  <si>
    <t>где A -  фактически выполненное число резервных копий (с подтверждением отсутствия ошибок копирования) ;</t>
  </si>
  <si>
    <t>B - Количество резервных копий которое необходимо выполнить в соответствии с  Планом-Графиком копирования на ИС</t>
  </si>
  <si>
    <t>Пригодность для обслуживания</t>
  </si>
  <si>
    <t xml:space="preserve">Модифицируемость </t>
  </si>
  <si>
    <t xml:space="preserve"> В какой степени требуемые Релизы реализуются за опеределенное время</t>
  </si>
  <si>
    <t xml:space="preserve">А:                     В: </t>
  </si>
  <si>
    <t>Система Управления Задачами (svr)</t>
  </si>
  <si>
    <t>Релиз-менеджер</t>
  </si>
  <si>
    <t>где A - число  Релизов реализованных  в плановый срок ;</t>
  </si>
  <si>
    <t>B - число реализованных Релизов</t>
  </si>
  <si>
    <t xml:space="preserve">Корректность  Плановых Функциональных Релизов </t>
  </si>
  <si>
    <t xml:space="preserve">Какая часть Плановых Релизов была реализована корректно?  </t>
  </si>
  <si>
    <t>X = 1- A/B,</t>
  </si>
  <si>
    <t xml:space="preserve">А:                 В:              </t>
  </si>
  <si>
    <t>где A - число Релизов, вызвавших сбой или отказ после внедрения;</t>
  </si>
  <si>
    <t xml:space="preserve">B - число реализованных Релизов </t>
  </si>
  <si>
    <t xml:space="preserve">Корректность  Срочных Функциональных  Релизов </t>
  </si>
  <si>
    <t xml:space="preserve">Какая часть Срочный Релизов была реализована корректно?  </t>
  </si>
  <si>
    <t xml:space="preserve">А:                 В: </t>
  </si>
  <si>
    <t>Разделение компонентов для микросервисных архитектур</t>
  </si>
  <si>
    <t xml:space="preserve">Насколько Микросервисы независимы от других Микросервисов  </t>
  </si>
  <si>
    <t>X = A/B</t>
  </si>
  <si>
    <t>А:                    В:</t>
  </si>
  <si>
    <t>Техническое Задание, Архитектурная схема, Описание Микросервисов и их взаимосвязей</t>
  </si>
  <si>
    <t>где A - число Микросервисов обновлять которые можно независимо от других Микросервисов</t>
  </si>
  <si>
    <t>B -  общее число Микросервисов  выведенных в эксплуатацию (выведены на рабочее окружение)</t>
  </si>
  <si>
    <t>Мониторинг бизнес-метрик</t>
  </si>
  <si>
    <t xml:space="preserve">Может ли быть отслежена во время эксплуатации работоспособность системы в разрезе бизнес-процессов системы </t>
  </si>
  <si>
    <t>Х=А/В</t>
  </si>
  <si>
    <t>Паспорт мониторинга, Дашборд из zabbix, Задачи в СУЗ с описанием требований к мониторингу</t>
  </si>
  <si>
    <t>Администратор систем мониторинга</t>
  </si>
  <si>
    <t>где А- количество бизнес-метрик поставленных на мониторинг (факт)</t>
  </si>
  <si>
    <t>В - количество бизнес-метрик, которые необходимо поставить на мониторинг (план)</t>
  </si>
  <si>
    <t xml:space="preserve"> Мониторинг Серверов</t>
  </si>
  <si>
    <t>Может ли быть отслежена во время эксплуатации работоспособность системы в разрезе серверов</t>
  </si>
  <si>
    <t>Паспорт мониторинга</t>
  </si>
  <si>
    <t>Администратор Отдела систем мониторинга</t>
  </si>
  <si>
    <t>где А- количество серверов, поставленных на мониторинг</t>
  </si>
  <si>
    <t>В- количество серверов, которые необходимо поставить на мониторинг</t>
  </si>
  <si>
    <t>Тестируемость</t>
  </si>
  <si>
    <t>Автоматизация Регрессионной Модели</t>
  </si>
  <si>
    <t>Насколько покрыта АвтоТестами Регрессионная Модель</t>
  </si>
  <si>
    <t xml:space="preserve">А:                        В:                     </t>
  </si>
  <si>
    <t>Система управления тестированием</t>
  </si>
  <si>
    <t>Где А- Общее количество  Тестов в Регрессионной модели, покрытое АвтоТестами</t>
  </si>
  <si>
    <t>В- Общее Тестов (В Регрессионной Модели)</t>
  </si>
  <si>
    <t>Автономность тестирования</t>
  </si>
  <si>
    <t>Насколько независимо может быть проведен процесс тестирования ИС? *Автономность выполнения тестов достигается использованием заглушек. которые имитируют ответы смежных систем </t>
  </si>
  <si>
    <t xml:space="preserve"> А -число тест-кейсов которые можно провести с помощью Заглушек (Интеграционных кейсов)</t>
  </si>
  <si>
    <t>где В - общее число интеграционных  тест-кейсов ;</t>
  </si>
  <si>
    <t>Полнота видов Тестирования</t>
  </si>
  <si>
    <t>Насколько полно реализованы необходимые виды тестирования в соответствии с Положением о видах тестирования</t>
  </si>
  <si>
    <t xml:space="preserve">А:                     В:              </t>
  </si>
  <si>
    <t>Методика тестирования и Протоколы тестирования по всем видам тестирования.</t>
  </si>
  <si>
    <t>где, A- фактическое число  организованных  видов тестирования на ИС</t>
  </si>
  <si>
    <t>В- требуемое число видов тестирования</t>
  </si>
  <si>
    <t>Идентичность тестовых и препродуктивных  окружений рабочему окружению</t>
  </si>
  <si>
    <t xml:space="preserve"> Тестовые и предпродуктивные окружения соответствуют требованиям, установленными в ВНД Порядок  работы тестовых и препродуктивным  окружениями пункт 3.5.3.2</t>
  </si>
  <si>
    <t xml:space="preserve">Идентичность ИС по </t>
  </si>
  <si>
    <t>Менеджер тестовых сред</t>
  </si>
  <si>
    <t>где,  А - Сумма  процентов идентичности всех критериев</t>
  </si>
  <si>
    <t>В -Количество необходимых критериев идентичности</t>
  </si>
  <si>
    <t>Тестовые окружения:</t>
  </si>
  <si>
    <t>Окружение системного тестирования</t>
  </si>
  <si>
    <t>Окружение интеграционно- функционального тестирования</t>
  </si>
  <si>
    <t>Окружение нагрузочного тестирования</t>
  </si>
  <si>
    <t>Препродуктивное окружение</t>
  </si>
  <si>
    <t>Состав тестовых, препродуктивных  и иных окружений</t>
  </si>
  <si>
    <t>Состав тестовых и препродуктивных  окруженийсоответсвует ВНД Порядок работы с  тестовыми и препродуктивным  окружениями</t>
  </si>
  <si>
    <t>А:                   В:</t>
  </si>
  <si>
    <t>Архитектурная схема</t>
  </si>
  <si>
    <t xml:space="preserve">где А- фактическое число  развернутых видов тестовых, препродуктивных  и иных окруженийй;         </t>
  </si>
  <si>
    <t>где В- требуемое число развернутых видов тестовых,  препродуктивных  и иных окружений</t>
  </si>
  <si>
    <t>Переносимость</t>
  </si>
  <si>
    <t>Время установки Релиза</t>
  </si>
  <si>
    <t xml:space="preserve">Насколько отличается реальное время установки ИС от расчетного?* </t>
  </si>
  <si>
    <t>Аi:                          Вi:                   n:</t>
  </si>
  <si>
    <t>Система Управления Задачами (svr); План работ на установку Релиза</t>
  </si>
  <si>
    <t>где Ai - ожидаемое время на установку Релиза (Время на работы devops из Плана работ на установку Релиза ) ;</t>
  </si>
  <si>
    <t>Bi - суммарное затраченное время на установку Релиза;</t>
  </si>
  <si>
    <t xml:space="preserve">Эффективность. Показатели временных Характеристик </t>
  </si>
  <si>
    <t>Средняя пропускная способность</t>
  </si>
  <si>
    <t>Каково среднее количество операций  решенных ИС   за единицу времени (показатель учитывается по формуле №2; в случае показатель качества больше 1 - учитывать его как 1)</t>
  </si>
  <si>
    <t xml:space="preserve">1) </t>
  </si>
  <si>
    <t>1) Ai:                    Bi:                   n:</t>
  </si>
  <si>
    <t>Выгрузка данных с prod-контура, Запрос на оценку трудозатрат ЗНИ проекта.</t>
  </si>
  <si>
    <t>Сопровождение 2я линия</t>
  </si>
  <si>
    <t>Где Ai-число операций, выполненных за проверяемый промежуток времени</t>
  </si>
  <si>
    <t>Вi-промежуток времени</t>
  </si>
  <si>
    <t xml:space="preserve">n –число наблюдений </t>
  </si>
  <si>
    <t>2) Х=А/В</t>
  </si>
  <si>
    <t>2) А:                В:</t>
  </si>
  <si>
    <t>где А-Среднее количество операций решенных за единицу времени</t>
  </si>
  <si>
    <t>В- эталонное количество операцией за единицу времени</t>
  </si>
  <si>
    <t>Корректность времени отклика</t>
  </si>
  <si>
    <t>Соответствует ли время отклика системы определенной цели? (показатель учитывается по формуле №2; в случае если показатель качества больше "1" - учитывать его как "1")</t>
  </si>
  <si>
    <t>А (общее кол-во):                    В(общее время):</t>
  </si>
  <si>
    <t xml:space="preserve">А-Количество операций,  решенных за (i) измеряемый период времени </t>
  </si>
  <si>
    <t>2) Время за которое выполнены операции за измеряемый период</t>
  </si>
  <si>
    <t xml:space="preserve">n – количество измерений </t>
  </si>
  <si>
    <t>2) X = A/B,</t>
  </si>
  <si>
    <t>A:                         B:</t>
  </si>
  <si>
    <t>где A - среднее время отклика, соответствующее средней пропускной способности ;</t>
  </si>
  <si>
    <t>B - эталонное время отклика</t>
  </si>
  <si>
    <t>Безопасность</t>
  </si>
  <si>
    <t>Показатели аутентификации. Корректность механизма аутентификации</t>
  </si>
  <si>
    <t>Насколько точно система определяет субъект?</t>
  </si>
  <si>
    <t xml:space="preserve">A:                        В:                                   </t>
  </si>
  <si>
    <t xml:space="preserve">Паспорт Безопасности, Техническое Задание, результаты тестирования </t>
  </si>
  <si>
    <t xml:space="preserve">где А-  число реализованных механизмов аутентификации      </t>
  </si>
  <si>
    <t>В- число определенных механизмов аутентификации</t>
  </si>
  <si>
    <t>Показатели аутентификации. Соответствие правил аутентификаци</t>
  </si>
  <si>
    <t>Соответствие правил аутентификаци</t>
  </si>
  <si>
    <t xml:space="preserve">А:                В:             </t>
  </si>
  <si>
    <t>Паспорт Безопасности, Техническое Задание, Результаты тестирования</t>
  </si>
  <si>
    <t>где А - число реализованных правил аутентификации</t>
  </si>
  <si>
    <t>В- число правил аутентификации, реализация которых требуется</t>
  </si>
  <si>
    <t>Реализация Ролевой Модели на ИС</t>
  </si>
  <si>
    <t>Соответствие требований к реализации Ролевой Модели</t>
  </si>
  <si>
    <t>Техническое Задание, Карта Доступа, Результаты тестирования</t>
  </si>
  <si>
    <t>где А- число реализованных Ролей Пользователей</t>
  </si>
  <si>
    <t>В -число необходимых к реализации Ролей Пользователей</t>
  </si>
  <si>
    <t>Удобство использования. Показатели полноты описания</t>
  </si>
  <si>
    <t>Полнота описания Руководства Пользователя</t>
  </si>
  <si>
    <t>Какая часть сценариев использования описана в пользовательской документации?</t>
  </si>
  <si>
    <t xml:space="preserve">A:                        В: </t>
  </si>
  <si>
    <t xml:space="preserve">Руководство Пользователя, Трассировка требований, Техническое задание </t>
  </si>
  <si>
    <t>Тест-аналитик</t>
  </si>
  <si>
    <t>где A - число описанных сценариев использования;</t>
  </si>
  <si>
    <t>B - суммарное число сценариев использования, реализованных в ИС</t>
  </si>
  <si>
    <t>ИТОГОВЫЙ УРОВЕНЬ КАЧЕСТВА ИС "Наименование"</t>
  </si>
  <si>
    <t>Цифровой показатель</t>
  </si>
  <si>
    <t xml:space="preserve">Показатель готовности системы 
(от 100%) </t>
  </si>
  <si>
    <t>Уровень качества</t>
  </si>
  <si>
    <t>Высокий уровень</t>
  </si>
  <si>
    <t>Дата измерения</t>
  </si>
  <si>
    <t>_____________</t>
  </si>
  <si>
    <t>Исполнитель_______________________________________</t>
  </si>
  <si>
    <t xml:space="preserve">*Показатель качества -   </t>
  </si>
  <si>
    <t>81-100  % – Высокий  уровень</t>
  </si>
  <si>
    <t>61-80 % –  Уровень выше среднего</t>
  </si>
  <si>
    <t>41-60% – Средний уровень</t>
  </si>
  <si>
    <t>21-40% - Уровень ниже среднего</t>
  </si>
  <si>
    <t>0-20% -Низкий уровень</t>
  </si>
  <si>
    <t>0- Не возможно измерить</t>
  </si>
  <si>
    <t>Н - Неприменимо</t>
  </si>
  <si>
    <t>ЗАКЛЮЧЕНИЕ ПО КАЧЕСТВУ</t>
  </si>
  <si>
    <t>ИНФОРМАЦИОННАЯ СИСТЕМА «______________________________»</t>
  </si>
  <si>
    <t>Заключение выполнено на основании Аттестационного листа (по измерению качества информационной системы)</t>
  </si>
  <si>
    <t>Профессиональное суждение о качестве ИС менеджера по качеству</t>
  </si>
  <si>
    <t xml:space="preserve">Подхарактеристика </t>
  </si>
  <si>
    <t xml:space="preserve">Профессиональное суждение, подтверждающее/ опровергающее статистический показатель качества ( вывод менеджера по качеству)  </t>
  </si>
  <si>
    <t>Ссылка на Задачу в СУЗ с артефактами подтверждающими показатель качества</t>
  </si>
  <si>
    <t xml:space="preserve">Цифровой показатель </t>
  </si>
  <si>
    <t>Показатель качества**</t>
  </si>
  <si>
    <t>Доступность системы</t>
  </si>
  <si>
    <t>Полнота резервной копии данных</t>
  </si>
  <si>
    <t>Модифицируемость</t>
  </si>
  <si>
    <t xml:space="preserve">Корректность Плановых Функциональных Релизов </t>
  </si>
  <si>
    <t xml:space="preserve">Корректность Срочных  Функциональных Релизов </t>
  </si>
  <si>
    <t>Разделение компонентов (для микросервисных систем)</t>
  </si>
  <si>
    <t xml:space="preserve"> Мониторинга бизнес-процессов</t>
  </si>
  <si>
    <t>Мониторинга серверов</t>
  </si>
  <si>
    <t>Автоматизация регрессионной модели</t>
  </si>
  <si>
    <t>Состав тестовых, препродуктив и иных окружений</t>
  </si>
  <si>
    <t>Время установки</t>
  </si>
  <si>
    <t>Эффективность. Показатели временных Характеристик</t>
  </si>
  <si>
    <t xml:space="preserve">Безопасность. </t>
  </si>
  <si>
    <t>Полнота описания  Руководства Пользователя</t>
  </si>
  <si>
    <t>Уровень качества*</t>
  </si>
  <si>
    <r>
      <rPr>
        <sz val="11"/>
        <color theme="1"/>
        <rFont val="Calibri"/>
        <scheme val="minor"/>
      </rPr>
      <t>* Заполняется в случае несоответствия Уровня Качества в</t>
    </r>
    <r>
      <rPr>
        <b/>
        <sz val="11"/>
        <color theme="1"/>
        <rFont val="Calibri"/>
        <scheme val="minor"/>
      </rPr>
      <t xml:space="preserve"> Аттестационном Листе </t>
    </r>
    <r>
      <rPr>
        <sz val="11"/>
        <color theme="1"/>
        <rFont val="Calibri"/>
        <scheme val="minor"/>
      </rPr>
      <t xml:space="preserve">и </t>
    </r>
    <r>
      <rPr>
        <b/>
        <sz val="11"/>
        <color theme="1"/>
        <rFont val="Calibri"/>
        <scheme val="minor"/>
      </rPr>
      <t>Заключении по качеству</t>
    </r>
  </si>
  <si>
    <t xml:space="preserve">ПОЯСНИТЕЛЬНАЯ ЗАПИСКА МЕНЕДЖЕРА ПО КАЧЕСТВУ </t>
  </si>
  <si>
    <t>по факту изменения статистических показателей Аттестационного Листа</t>
  </si>
  <si>
    <t>Показатель качества ИС по Аттестационному листу (от 100%)</t>
  </si>
  <si>
    <t>Показатель качества ИС по Заключению по качеству (от 100%)</t>
  </si>
  <si>
    <t xml:space="preserve"> Пояснительная записка о причинах расхождения ИТОГОВОГО УРОВНЯ КАЧЕСТВА относительно Аттестационного листа</t>
  </si>
  <si>
    <t>Детальная по поясни тельная записка по расхождению показателей в Заключении по качеству и Аттестационном Листа</t>
  </si>
  <si>
    <t xml:space="preserve">Подхарактеристика качества  по Аттестационному листу </t>
  </si>
  <si>
    <t>Подхарактеристика по проф. суждению  Менеджера по качеству</t>
  </si>
  <si>
    <t>Пояснительная записка о причинах расхождения показателей</t>
  </si>
  <si>
    <t>Цифровой показатель полученный  по Аттестационному листу</t>
  </si>
  <si>
    <t>Цифровой показатель Проставленный Менеджером по качеству</t>
  </si>
  <si>
    <t>ФИО:</t>
  </si>
  <si>
    <t>Дата:</t>
  </si>
  <si>
    <t>Справочно:</t>
  </si>
  <si>
    <t xml:space="preserve">**Показатель качества </t>
  </si>
  <si>
    <t>1-20% -Низкий уровень</t>
  </si>
  <si>
    <t>0- Невозможно измерить</t>
  </si>
  <si>
    <t>Н- Неприменимо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</si>
</sst>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name val="Times New Roman"/>
    </font>
    <font>
      <b/>
      <sz val="12"/>
      <color theme="1"/>
      <name val="Times New Roman"/>
    </font>
    <font>
      <b/>
      <sz val="11"/>
      <name val="Times New Roman"/>
    </font>
    <font>
      <b/>
      <sz val="11"/>
      <color theme="1"/>
      <name val="Times New Roman"/>
    </font>
    <font>
      <sz val="11"/>
      <name val="Times New Roman"/>
    </font>
    <font>
      <sz val="11"/>
      <color theme="1"/>
      <name val="Times New Roman"/>
    </font>
    <font>
      <sz val="10.5"/>
      <name val="Times New Roman"/>
    </font>
    <font>
      <sz val="10.5"/>
      <color theme="1"/>
      <name val="Times New Roman"/>
    </font>
    <font>
      <sz val="12"/>
      <name val="Times New Roman"/>
    </font>
    <font>
      <sz val="11"/>
      <color theme="1"/>
      <name val="Times New Roman"/>
    </font>
    <font>
      <sz val="10.5"/>
      <color theme="1"/>
      <name val="Times New Roman"/>
    </font>
    <font>
      <b/>
      <sz val="12"/>
      <name val="Times New Roman"/>
    </font>
    <font>
      <b/>
      <sz val="11"/>
      <name val="Tinos"/>
    </font>
    <font>
      <i/>
      <sz val="11"/>
      <color theme="1"/>
      <name val="Times New Roman"/>
    </font>
    <font>
      <sz val="12"/>
      <color theme="1"/>
      <name val="Times New Roman"/>
    </font>
    <font>
      <sz val="10"/>
      <name val="Times New Roman"/>
    </font>
    <font>
      <sz val="10"/>
      <color theme="1"/>
      <name val="Times New Roman"/>
    </font>
    <font>
      <sz val="10"/>
      <color theme="1"/>
      <name val="Times New Roman"/>
    </font>
    <font>
      <b/>
      <sz val="10"/>
      <name val="Times New Roman"/>
    </font>
    <font>
      <b/>
      <sz val="12"/>
      <color theme="1"/>
      <name val="Calibri"/>
      <scheme val="minor"/>
    </font>
    <font>
      <sz val="10.5"/>
      <color rgb="FF172B4D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theme="9" tint="0.59999389629810485"/>
        <bgColor theme="9" tint="0.59999389629810485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237">
    <xf numFmtId="0" fontId="0" fillId="0" borderId="0" xfId="0"/>
    <xf numFmtId="0" fontId="0" fillId="0" borderId="3" xfId="0" applyBorder="1"/>
    <xf numFmtId="0" fontId="0" fillId="0" borderId="0" xfId="0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left" wrapText="1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wrapText="1"/>
    </xf>
    <xf numFmtId="0" fontId="11" fillId="0" borderId="3" xfId="0" applyFont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 wrapText="1"/>
    </xf>
    <xf numFmtId="0" fontId="14" fillId="0" borderId="3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/>
    </xf>
    <xf numFmtId="0" fontId="6" fillId="2" borderId="3" xfId="0" applyFont="1" applyFill="1" applyBorder="1" applyAlignment="1">
      <alignment wrapText="1"/>
    </xf>
    <xf numFmtId="0" fontId="11" fillId="2" borderId="3" xfId="0" applyFont="1" applyFill="1" applyBorder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11" fillId="2" borderId="0" xfId="0" applyFont="1" applyFill="1" applyAlignment="1">
      <alignment horizontal="left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top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9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7" fillId="3" borderId="2" xfId="0" applyFont="1" applyFill="1" applyBorder="1"/>
    <xf numFmtId="0" fontId="4" fillId="4" borderId="1" xfId="0" applyFont="1" applyFill="1" applyBorder="1" applyAlignment="1">
      <alignment vertical="top"/>
    </xf>
    <xf numFmtId="0" fontId="0" fillId="4" borderId="0" xfId="0" applyFill="1"/>
    <xf numFmtId="0" fontId="4" fillId="0" borderId="0" xfId="0" applyFont="1" applyAlignment="1">
      <alignment horizontal="left" wrapText="1"/>
    </xf>
    <xf numFmtId="0" fontId="6" fillId="6" borderId="0" xfId="0" applyFont="1" applyFill="1" applyAlignment="1">
      <alignment horizontal="left"/>
    </xf>
    <xf numFmtId="0" fontId="0" fillId="6" borderId="0" xfId="0" applyFill="1"/>
    <xf numFmtId="0" fontId="6" fillId="8" borderId="0" xfId="0" applyFont="1" applyFill="1" applyAlignment="1">
      <alignment horizontal="left"/>
    </xf>
    <xf numFmtId="0" fontId="0" fillId="8" borderId="0" xfId="0" applyFill="1"/>
    <xf numFmtId="0" fontId="7" fillId="9" borderId="0" xfId="0" applyFont="1" applyFill="1"/>
    <xf numFmtId="0" fontId="0" fillId="9" borderId="0" xfId="0" applyFill="1"/>
    <xf numFmtId="0" fontId="11" fillId="10" borderId="0" xfId="0" applyFont="1" applyFill="1"/>
    <xf numFmtId="0" fontId="0" fillId="10" borderId="0" xfId="0" applyFill="1"/>
    <xf numFmtId="0" fontId="16" fillId="0" borderId="0" xfId="0" applyFont="1"/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3" xfId="0" applyFont="1" applyBorder="1" applyAlignment="1">
      <alignment horizontal="left" vertical="top" wrapText="1"/>
    </xf>
    <xf numFmtId="0" fontId="17" fillId="2" borderId="3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wrapText="1"/>
    </xf>
    <xf numFmtId="0" fontId="18" fillId="0" borderId="3" xfId="0" applyFont="1" applyBorder="1"/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wrapText="1"/>
    </xf>
    <xf numFmtId="0" fontId="19" fillId="2" borderId="3" xfId="0" applyFont="1" applyFill="1" applyBorder="1" applyAlignment="1">
      <alignment horizontal="left" vertical="top" wrapText="1"/>
    </xf>
    <xf numFmtId="0" fontId="19" fillId="2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wrapText="1"/>
    </xf>
    <xf numFmtId="0" fontId="20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 wrapText="1"/>
    </xf>
    <xf numFmtId="0" fontId="18" fillId="0" borderId="3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15" fillId="2" borderId="0" xfId="0" applyFont="1" applyFill="1" applyAlignment="1">
      <alignment vertical="center" wrapText="1"/>
    </xf>
    <xf numFmtId="0" fontId="0" fillId="0" borderId="0" xfId="0"/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vertical="top" wrapText="1"/>
    </xf>
    <xf numFmtId="9" fontId="0" fillId="0" borderId="3" xfId="0" applyNumberFormat="1" applyBorder="1" applyAlignment="1">
      <alignment wrapText="1"/>
    </xf>
    <xf numFmtId="9" fontId="0" fillId="0" borderId="0" xfId="0" applyNumberFormat="1" applyAlignment="1">
      <alignment horizontal="left" vertical="top" wrapText="1"/>
    </xf>
    <xf numFmtId="9" fontId="0" fillId="0" borderId="0" xfId="0" applyNumberFormat="1" applyAlignment="1">
      <alignment wrapText="1"/>
    </xf>
    <xf numFmtId="0" fontId="1" fillId="3" borderId="3" xfId="0" applyFont="1" applyFill="1" applyBorder="1" applyAlignment="1">
      <alignment vertical="top"/>
    </xf>
    <xf numFmtId="0" fontId="0" fillId="3" borderId="3" xfId="0" applyFill="1" applyBorder="1"/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3" fillId="0" borderId="0" xfId="0" applyFont="1"/>
    <xf numFmtId="0" fontId="7" fillId="0" borderId="0" xfId="0" applyFont="1"/>
    <xf numFmtId="0" fontId="6" fillId="11" borderId="0" xfId="0" applyFont="1" applyFill="1" applyAlignment="1">
      <alignment horizontal="left"/>
    </xf>
    <xf numFmtId="0" fontId="7" fillId="11" borderId="0" xfId="0" applyFont="1" applyFill="1"/>
    <xf numFmtId="0" fontId="7" fillId="8" borderId="0" xfId="0" applyFont="1" applyFill="1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4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top"/>
    </xf>
    <xf numFmtId="0" fontId="12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1" fillId="0" borderId="5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2" borderId="4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center" wrapText="1"/>
    </xf>
    <xf numFmtId="0" fontId="12" fillId="2" borderId="5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4" xfId="0" applyFont="1" applyBorder="1" applyAlignment="1">
      <alignment horizontal="justify" vertical="top"/>
    </xf>
    <xf numFmtId="0" fontId="7" fillId="0" borderId="5" xfId="0" applyFont="1" applyBorder="1" applyAlignment="1">
      <alignment horizontal="justify" vertical="top"/>
    </xf>
    <xf numFmtId="0" fontId="7" fillId="0" borderId="6" xfId="0" applyFont="1" applyBorder="1" applyAlignment="1">
      <alignment horizontal="justify" vertical="top"/>
    </xf>
    <xf numFmtId="0" fontId="4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top"/>
    </xf>
    <xf numFmtId="0" fontId="6" fillId="7" borderId="0" xfId="0" applyFont="1" applyFill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 wrapText="1"/>
    </xf>
    <xf numFmtId="0" fontId="13" fillId="0" borderId="11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17" fillId="0" borderId="4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1" fillId="2" borderId="4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2" borderId="13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9" fontId="21" fillId="0" borderId="0" xfId="0" applyNumberFormat="1" applyFont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20">
    <dxf>
      <fill>
        <patternFill patternType="solid">
          <fgColor indexed="65"/>
          <bgColor indexed="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indexed="5"/>
          <bgColor indexed="5"/>
        </patternFill>
      </fill>
    </dxf>
    <dxf>
      <fill>
        <patternFill patternType="solid">
          <fgColor rgb="FFA9D08D"/>
          <bgColor rgb="FFA9D08D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A9D08D"/>
          <bgColor rgb="FFA9D08D"/>
        </patternFill>
      </fill>
    </dxf>
    <dxf>
      <font>
        <color theme="1"/>
      </font>
      <fill>
        <patternFill patternType="solid">
          <fgColor indexed="5"/>
          <bgColor indexed="5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  <dxf>
      <fill>
        <patternFill patternType="solid">
          <fgColor rgb="FFA9D08D"/>
          <bgColor rgb="FFA9D08D"/>
        </patternFill>
      </fill>
    </dxf>
    <dxf>
      <fill>
        <patternFill patternType="solid">
          <fgColor indexed="5"/>
          <bgColor indexed="5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indexed="65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244361</xdr:colOff>
      <xdr:row>17</xdr:row>
      <xdr:rowOff>52383</xdr:rowOff>
    </xdr:from>
    <xdr:ext cx="971543" cy="485767"/>
    <xdr:pic>
      <xdr:nvPicPr>
        <xdr:cNvPr id="1209523162" name="Рисунок 1209523161">
          <a:extLst>
            <a:ext uri="{FF2B5EF4-FFF2-40B4-BE49-F238E27FC236}">
              <a16:creationId xmlns:a16="http://schemas.microsoft.com/office/drawing/2014/main" id="{00000000-0008-0000-0100-0000DADB1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835286" y="9015408"/>
          <a:ext cx="971543" cy="485767"/>
        </a:xfrm>
        <a:prstGeom prst="rect">
          <a:avLst/>
        </a:prstGeom>
      </xdr:spPr>
    </xdr:pic>
    <xdr:clientData/>
  </xdr:oneCellAnchor>
  <xdr:oneCellAnchor>
    <xdr:from>
      <xdr:col>3</xdr:col>
      <xdr:colOff>1123942</xdr:colOff>
      <xdr:row>65</xdr:row>
      <xdr:rowOff>138105</xdr:rowOff>
    </xdr:from>
    <xdr:ext cx="1219203" cy="638172"/>
    <xdr:pic>
      <xdr:nvPicPr>
        <xdr:cNvPr id="624478578" name="Рисунок 624478577">
          <a:extLst>
            <a:ext uri="{FF2B5EF4-FFF2-40B4-BE49-F238E27FC236}">
              <a16:creationId xmlns:a16="http://schemas.microsoft.com/office/drawing/2014/main" id="{00000000-0008-0000-0100-000072C93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3590917" y="34656704"/>
          <a:ext cx="1219203" cy="638172"/>
        </a:xfrm>
        <a:prstGeom prst="rect">
          <a:avLst/>
        </a:prstGeom>
      </xdr:spPr>
    </xdr:pic>
    <xdr:clientData/>
  </xdr:oneCellAnchor>
  <xdr:oneCellAnchor>
    <xdr:from>
      <xdr:col>4</xdr:col>
      <xdr:colOff>47615</xdr:colOff>
      <xdr:row>68</xdr:row>
      <xdr:rowOff>247644</xdr:rowOff>
    </xdr:from>
    <xdr:ext cx="1365021" cy="638181"/>
    <xdr:pic>
      <xdr:nvPicPr>
        <xdr:cNvPr id="1079358016" name="Рисунок 1079358015">
          <a:extLst>
            <a:ext uri="{FF2B5EF4-FFF2-40B4-BE49-F238E27FC236}">
              <a16:creationId xmlns:a16="http://schemas.microsoft.com/office/drawing/2014/main" id="{00000000-0008-0000-0100-000040B25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3638540" y="37290368"/>
          <a:ext cx="1365021" cy="638181"/>
        </a:xfrm>
        <a:prstGeom prst="rect">
          <a:avLst/>
        </a:prstGeom>
      </xdr:spPr>
    </xdr:pic>
    <xdr:clientData/>
  </xdr:oneCellAnchor>
  <xdr:oneCellAnchor>
    <xdr:from>
      <xdr:col>4</xdr:col>
      <xdr:colOff>123822</xdr:colOff>
      <xdr:row>75</xdr:row>
      <xdr:rowOff>228593</xdr:rowOff>
    </xdr:from>
    <xdr:ext cx="1308213" cy="495297"/>
    <xdr:pic>
      <xdr:nvPicPr>
        <xdr:cNvPr id="2101651833" name="Рисунок 2101651832">
          <a:extLst>
            <a:ext uri="{FF2B5EF4-FFF2-40B4-BE49-F238E27FC236}">
              <a16:creationId xmlns:a16="http://schemas.microsoft.com/office/drawing/2014/main" id="{00000000-0008-0000-0100-000079A94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3714746" y="40738418"/>
          <a:ext cx="1308213" cy="49529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8"/>
  <sheetViews>
    <sheetView topLeftCell="A8" workbookViewId="0">
      <selection activeCell="F18" sqref="F18:F23"/>
    </sheetView>
  </sheetViews>
  <sheetFormatPr defaultRowHeight="15"/>
  <cols>
    <col min="1" max="1" width="18.42578125" customWidth="1"/>
    <col min="2" max="2" width="13" customWidth="1"/>
    <col min="3" max="3" width="5.5703125" customWidth="1"/>
    <col min="4" max="4" width="16.85546875" customWidth="1"/>
    <col min="5" max="5" width="22.28515625" customWidth="1"/>
    <col min="6" max="6" width="12.5703125" customWidth="1"/>
    <col min="7" max="7" width="11.28515625" customWidth="1"/>
    <col min="8" max="8" width="12.85546875" customWidth="1"/>
    <col min="9" max="9" width="18.42578125" customWidth="1"/>
  </cols>
  <sheetData>
    <row r="1" spans="1:9" ht="21" customHeight="1">
      <c r="A1" s="94" t="s">
        <v>0</v>
      </c>
      <c r="B1" s="94"/>
      <c r="C1" s="94"/>
      <c r="D1" s="94"/>
      <c r="E1" s="94"/>
      <c r="F1" s="94"/>
      <c r="G1" s="94"/>
      <c r="H1" s="94"/>
      <c r="I1" s="94"/>
    </row>
    <row r="2" spans="1:9">
      <c r="A2" s="2"/>
    </row>
    <row r="3" spans="1:9" ht="15.75">
      <c r="A3" s="95" t="s">
        <v>1</v>
      </c>
      <c r="B3" s="95"/>
      <c r="C3" s="95"/>
      <c r="D3" s="95"/>
      <c r="E3" s="95"/>
      <c r="F3" s="95"/>
      <c r="G3" s="95"/>
      <c r="H3" s="95"/>
      <c r="I3" s="95"/>
    </row>
    <row r="5" spans="1:9" ht="57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3" t="s">
        <v>7</v>
      </c>
      <c r="G5" s="3" t="s">
        <v>8</v>
      </c>
      <c r="H5" s="3" t="s">
        <v>9</v>
      </c>
      <c r="I5" s="5" t="s">
        <v>10</v>
      </c>
    </row>
    <row r="6" spans="1:9">
      <c r="A6" s="96" t="s">
        <v>11</v>
      </c>
      <c r="B6" s="99" t="s">
        <v>12</v>
      </c>
      <c r="C6" s="99">
        <v>1</v>
      </c>
      <c r="D6" s="99" t="s">
        <v>13</v>
      </c>
      <c r="E6" s="6" t="s">
        <v>14</v>
      </c>
      <c r="F6" s="102"/>
      <c r="G6" s="105" t="s">
        <v>15</v>
      </c>
      <c r="H6" s="105" t="s">
        <v>16</v>
      </c>
      <c r="I6" s="102" t="s">
        <v>17</v>
      </c>
    </row>
    <row r="7" spans="1:9" ht="45">
      <c r="A7" s="97"/>
      <c r="B7" s="100"/>
      <c r="C7" s="100"/>
      <c r="D7" s="100"/>
      <c r="E7" s="7" t="s">
        <v>18</v>
      </c>
      <c r="F7" s="103"/>
      <c r="G7" s="106"/>
      <c r="H7" s="106"/>
      <c r="I7" s="103"/>
    </row>
    <row r="8" spans="1:9" ht="45">
      <c r="A8" s="98"/>
      <c r="B8" s="101"/>
      <c r="C8" s="101"/>
      <c r="D8" s="101"/>
      <c r="E8" s="7" t="s">
        <v>19</v>
      </c>
      <c r="F8" s="104"/>
      <c r="G8" s="107"/>
      <c r="H8" s="107"/>
      <c r="I8" s="104"/>
    </row>
    <row r="9" spans="1:9">
      <c r="A9" s="108" t="s">
        <v>20</v>
      </c>
      <c r="B9" s="99" t="s">
        <v>21</v>
      </c>
      <c r="C9" s="99">
        <v>2</v>
      </c>
      <c r="D9" s="99" t="s">
        <v>22</v>
      </c>
      <c r="E9" s="6" t="s">
        <v>23</v>
      </c>
      <c r="F9" s="102"/>
      <c r="G9" s="105" t="s">
        <v>24</v>
      </c>
      <c r="H9" s="105" t="s">
        <v>25</v>
      </c>
      <c r="I9" s="102" t="s">
        <v>17</v>
      </c>
    </row>
    <row r="10" spans="1:9" ht="75">
      <c r="A10" s="109"/>
      <c r="B10" s="100"/>
      <c r="C10" s="100"/>
      <c r="D10" s="100"/>
      <c r="E10" s="7" t="s">
        <v>26</v>
      </c>
      <c r="F10" s="103"/>
      <c r="G10" s="106"/>
      <c r="H10" s="106"/>
      <c r="I10" s="103"/>
    </row>
    <row r="11" spans="1:9" ht="90">
      <c r="A11" s="110"/>
      <c r="B11" s="101"/>
      <c r="C11" s="101"/>
      <c r="D11" s="101"/>
      <c r="E11" s="9" t="s">
        <v>27</v>
      </c>
      <c r="F11" s="104"/>
      <c r="G11" s="107"/>
      <c r="H11" s="107"/>
      <c r="I11" s="104"/>
    </row>
    <row r="12" spans="1:9">
      <c r="A12" s="108" t="s">
        <v>28</v>
      </c>
      <c r="B12" s="99" t="s">
        <v>29</v>
      </c>
      <c r="C12" s="99">
        <v>3</v>
      </c>
      <c r="D12" s="99" t="s">
        <v>30</v>
      </c>
      <c r="E12" s="7" t="s">
        <v>31</v>
      </c>
      <c r="F12" s="112"/>
      <c r="G12" s="105" t="s">
        <v>15</v>
      </c>
      <c r="H12" s="105" t="s">
        <v>32</v>
      </c>
      <c r="I12" s="105" t="s">
        <v>33</v>
      </c>
    </row>
    <row r="13" spans="1:9" ht="45">
      <c r="A13" s="109"/>
      <c r="B13" s="111"/>
      <c r="C13" s="100"/>
      <c r="D13" s="111"/>
      <c r="E13" s="7" t="s">
        <v>34</v>
      </c>
      <c r="F13" s="113"/>
      <c r="G13" s="106"/>
      <c r="H13" s="106"/>
      <c r="I13" s="106"/>
    </row>
    <row r="14" spans="1:9" ht="45">
      <c r="A14" s="109"/>
      <c r="B14" s="101"/>
      <c r="C14" s="101"/>
      <c r="D14" s="101"/>
      <c r="E14" s="7" t="s">
        <v>35</v>
      </c>
      <c r="F14" s="114"/>
      <c r="G14" s="107"/>
      <c r="H14" s="107"/>
      <c r="I14" s="107"/>
    </row>
    <row r="15" spans="1:9">
      <c r="A15" s="109"/>
      <c r="B15" s="99" t="s">
        <v>36</v>
      </c>
      <c r="C15" s="99">
        <v>4</v>
      </c>
      <c r="D15" s="99" t="s">
        <v>37</v>
      </c>
      <c r="E15" s="11" t="s">
        <v>38</v>
      </c>
      <c r="F15" s="112"/>
      <c r="G15" s="105" t="s">
        <v>24</v>
      </c>
      <c r="H15" s="105" t="s">
        <v>39</v>
      </c>
      <c r="I15" s="105" t="s">
        <v>33</v>
      </c>
    </row>
    <row r="16" spans="1:9" ht="81.75">
      <c r="A16" s="109"/>
      <c r="B16" s="111"/>
      <c r="C16" s="100"/>
      <c r="D16" s="111"/>
      <c r="E16" s="11" t="s">
        <v>40</v>
      </c>
      <c r="F16" s="113"/>
      <c r="G16" s="106"/>
      <c r="H16" s="106"/>
      <c r="I16" s="106"/>
    </row>
    <row r="17" spans="1:9" ht="132.75" customHeight="1">
      <c r="A17" s="109"/>
      <c r="B17" s="101"/>
      <c r="C17" s="101"/>
      <c r="D17" s="101"/>
      <c r="E17" s="12" t="s">
        <v>41</v>
      </c>
      <c r="F17" s="114"/>
      <c r="G17" s="107"/>
      <c r="H17" s="107"/>
      <c r="I17" s="107"/>
    </row>
    <row r="18" spans="1:9" ht="49.5" customHeight="1">
      <c r="A18" s="109"/>
      <c r="B18" s="100" t="s">
        <v>42</v>
      </c>
      <c r="C18" s="100">
        <v>5</v>
      </c>
      <c r="D18" s="100" t="s">
        <v>43</v>
      </c>
      <c r="E18" s="12" t="s">
        <v>44</v>
      </c>
      <c r="F18" s="115"/>
      <c r="G18" s="116"/>
      <c r="H18" s="116"/>
      <c r="I18" s="116"/>
    </row>
    <row r="19" spans="1:9" ht="52.5" customHeight="1">
      <c r="A19" s="109"/>
      <c r="B19" s="100"/>
      <c r="C19" s="100"/>
      <c r="D19" s="100"/>
      <c r="E19" s="13" t="s">
        <v>45</v>
      </c>
      <c r="F19" s="115"/>
      <c r="G19" s="116"/>
      <c r="H19" s="116"/>
      <c r="I19" s="116"/>
    </row>
    <row r="20" spans="1:9" ht="30" customHeight="1">
      <c r="A20" s="109"/>
      <c r="B20" s="100"/>
      <c r="C20" s="100"/>
      <c r="D20" s="100"/>
      <c r="E20" s="14" t="s">
        <v>46</v>
      </c>
      <c r="F20" s="115"/>
      <c r="G20" s="116"/>
      <c r="H20" s="116"/>
      <c r="I20" s="116"/>
    </row>
    <row r="21" spans="1:9" ht="30" customHeight="1">
      <c r="A21" s="109"/>
      <c r="B21" s="100"/>
      <c r="C21" s="100"/>
      <c r="D21" s="100"/>
      <c r="E21" s="14" t="s">
        <v>47</v>
      </c>
      <c r="F21" s="115"/>
      <c r="G21" s="116"/>
      <c r="H21" s="116"/>
      <c r="I21" s="116"/>
    </row>
    <row r="22" spans="1:9" ht="30" customHeight="1">
      <c r="A22" s="109"/>
      <c r="B22" s="100"/>
      <c r="C22" s="100"/>
      <c r="D22" s="100"/>
      <c r="E22" s="14" t="s">
        <v>48</v>
      </c>
      <c r="F22" s="115"/>
      <c r="G22" s="116"/>
      <c r="H22" s="116"/>
      <c r="I22" s="116"/>
    </row>
    <row r="23" spans="1:9" ht="66" customHeight="1">
      <c r="A23" s="109"/>
      <c r="B23" s="100"/>
      <c r="C23" s="100"/>
      <c r="D23" s="100"/>
      <c r="E23" s="14" t="s">
        <v>49</v>
      </c>
      <c r="F23" s="115"/>
      <c r="G23" s="116"/>
      <c r="H23" s="116"/>
      <c r="I23" s="116"/>
    </row>
    <row r="24" spans="1:9" ht="15.75">
      <c r="A24" s="109"/>
      <c r="B24" s="99" t="s">
        <v>50</v>
      </c>
      <c r="C24" s="99">
        <v>6</v>
      </c>
      <c r="D24" s="99" t="s">
        <v>51</v>
      </c>
      <c r="E24" s="15" t="s">
        <v>31</v>
      </c>
      <c r="F24" s="112"/>
      <c r="G24" s="105" t="s">
        <v>15</v>
      </c>
      <c r="H24" s="105" t="s">
        <v>52</v>
      </c>
      <c r="I24" s="105" t="s">
        <v>53</v>
      </c>
    </row>
    <row r="25" spans="1:9" ht="90">
      <c r="A25" s="109"/>
      <c r="B25" s="100"/>
      <c r="C25" s="100"/>
      <c r="D25" s="100"/>
      <c r="E25" s="9" t="s">
        <v>54</v>
      </c>
      <c r="F25" s="115"/>
      <c r="G25" s="106"/>
      <c r="H25" s="106"/>
      <c r="I25" s="106"/>
    </row>
    <row r="26" spans="1:9" ht="105">
      <c r="A26" s="109"/>
      <c r="B26" s="101"/>
      <c r="C26" s="101"/>
      <c r="D26" s="101"/>
      <c r="E26" s="9" t="s">
        <v>55</v>
      </c>
      <c r="F26" s="114"/>
      <c r="G26" s="107"/>
      <c r="H26" s="107"/>
      <c r="I26" s="107"/>
    </row>
    <row r="27" spans="1:9">
      <c r="A27" s="96" t="s">
        <v>56</v>
      </c>
      <c r="B27" s="99" t="s">
        <v>57</v>
      </c>
      <c r="C27" s="99">
        <v>7</v>
      </c>
      <c r="D27" s="99" t="s">
        <v>58</v>
      </c>
      <c r="E27" s="7" t="s">
        <v>31</v>
      </c>
      <c r="F27" s="102"/>
      <c r="G27" s="105" t="s">
        <v>59</v>
      </c>
      <c r="H27" s="105" t="s">
        <v>60</v>
      </c>
      <c r="I27" s="102" t="s">
        <v>61</v>
      </c>
    </row>
    <row r="28" spans="1:9" ht="45">
      <c r="A28" s="97"/>
      <c r="B28" s="100"/>
      <c r="C28" s="100"/>
      <c r="D28" s="100"/>
      <c r="E28" s="7" t="s">
        <v>62</v>
      </c>
      <c r="F28" s="103"/>
      <c r="G28" s="106"/>
      <c r="H28" s="106"/>
      <c r="I28" s="103"/>
    </row>
    <row r="29" spans="1:9" ht="45">
      <c r="A29" s="97"/>
      <c r="B29" s="101"/>
      <c r="C29" s="101"/>
      <c r="D29" s="101"/>
      <c r="E29" s="7" t="s">
        <v>63</v>
      </c>
      <c r="F29" s="104"/>
      <c r="G29" s="107"/>
      <c r="H29" s="107"/>
      <c r="I29" s="104"/>
    </row>
    <row r="30" spans="1:9">
      <c r="A30" s="97"/>
      <c r="B30" s="117" t="s">
        <v>64</v>
      </c>
      <c r="C30" s="117">
        <v>8</v>
      </c>
      <c r="D30" s="117" t="s">
        <v>65</v>
      </c>
      <c r="E30" s="16" t="s">
        <v>66</v>
      </c>
      <c r="F30" s="120"/>
      <c r="G30" s="117" t="s">
        <v>67</v>
      </c>
      <c r="H30" s="117" t="s">
        <v>60</v>
      </c>
      <c r="I30" s="123" t="s">
        <v>61</v>
      </c>
    </row>
    <row r="31" spans="1:9" ht="45">
      <c r="A31" s="97"/>
      <c r="B31" s="118"/>
      <c r="C31" s="118"/>
      <c r="D31" s="118"/>
      <c r="E31" s="16" t="s">
        <v>68</v>
      </c>
      <c r="F31" s="121"/>
      <c r="G31" s="118"/>
      <c r="H31" s="118"/>
      <c r="I31" s="124"/>
    </row>
    <row r="32" spans="1:9" ht="45">
      <c r="A32" s="97"/>
      <c r="B32" s="119"/>
      <c r="C32" s="119"/>
      <c r="D32" s="119"/>
      <c r="E32" s="16" t="s">
        <v>69</v>
      </c>
      <c r="F32" s="122"/>
      <c r="G32" s="119"/>
      <c r="H32" s="119"/>
      <c r="I32" s="125"/>
    </row>
    <row r="33" spans="1:9">
      <c r="A33" s="97"/>
      <c r="B33" s="126" t="s">
        <v>70</v>
      </c>
      <c r="C33" s="128">
        <v>9</v>
      </c>
      <c r="D33" s="126" t="s">
        <v>71</v>
      </c>
      <c r="E33" s="17" t="s">
        <v>66</v>
      </c>
      <c r="F33" s="130"/>
      <c r="G33" s="126" t="s">
        <v>72</v>
      </c>
      <c r="H33" s="128"/>
      <c r="I33" s="131"/>
    </row>
    <row r="34" spans="1:9" ht="45">
      <c r="A34" s="97"/>
      <c r="B34" s="126"/>
      <c r="C34" s="128"/>
      <c r="D34" s="126"/>
      <c r="E34" s="16" t="s">
        <v>68</v>
      </c>
      <c r="F34" s="130"/>
      <c r="G34" s="126"/>
      <c r="H34" s="128"/>
      <c r="I34" s="131"/>
    </row>
    <row r="35" spans="1:9" ht="45">
      <c r="A35" s="97"/>
      <c r="B35" s="127"/>
      <c r="C35" s="129"/>
      <c r="D35" s="126"/>
      <c r="E35" s="16" t="s">
        <v>69</v>
      </c>
      <c r="F35" s="130"/>
      <c r="G35" s="126"/>
      <c r="H35" s="128"/>
      <c r="I35" s="131"/>
    </row>
    <row r="36" spans="1:9">
      <c r="A36" s="97"/>
      <c r="B36" s="132" t="s">
        <v>73</v>
      </c>
      <c r="C36" s="133">
        <v>10</v>
      </c>
      <c r="D36" s="134" t="s">
        <v>74</v>
      </c>
      <c r="E36" s="16" t="s">
        <v>75</v>
      </c>
      <c r="F36" s="137"/>
      <c r="G36" s="117" t="s">
        <v>76</v>
      </c>
      <c r="H36" s="117" t="s">
        <v>77</v>
      </c>
      <c r="I36" s="140" t="s">
        <v>61</v>
      </c>
    </row>
    <row r="37" spans="1:9" ht="75">
      <c r="A37" s="97"/>
      <c r="B37" s="132"/>
      <c r="C37" s="133"/>
      <c r="D37" s="135"/>
      <c r="E37" s="16" t="s">
        <v>78</v>
      </c>
      <c r="F37" s="138"/>
      <c r="G37" s="118"/>
      <c r="H37" s="118"/>
      <c r="I37" s="141"/>
    </row>
    <row r="38" spans="1:9" ht="100.5" customHeight="1">
      <c r="A38" s="97"/>
      <c r="B38" s="132"/>
      <c r="C38" s="133"/>
      <c r="D38" s="136"/>
      <c r="E38" s="17" t="s">
        <v>79</v>
      </c>
      <c r="F38" s="139"/>
      <c r="G38" s="119"/>
      <c r="H38" s="119"/>
      <c r="I38" s="142"/>
    </row>
    <row r="39" spans="1:9">
      <c r="A39" s="97"/>
      <c r="B39" s="135" t="s">
        <v>80</v>
      </c>
      <c r="C39" s="143">
        <v>11</v>
      </c>
      <c r="D39" s="135" t="s">
        <v>81</v>
      </c>
      <c r="E39" s="16" t="s">
        <v>82</v>
      </c>
      <c r="F39" s="138"/>
      <c r="G39" s="118" t="s">
        <v>72</v>
      </c>
      <c r="H39" s="118" t="s">
        <v>83</v>
      </c>
      <c r="I39" s="135" t="s">
        <v>84</v>
      </c>
    </row>
    <row r="40" spans="1:9" ht="60">
      <c r="A40" s="97"/>
      <c r="B40" s="135"/>
      <c r="C40" s="143"/>
      <c r="D40" s="135"/>
      <c r="E40" s="16" t="s">
        <v>85</v>
      </c>
      <c r="F40" s="138"/>
      <c r="G40" s="118"/>
      <c r="H40" s="118"/>
      <c r="I40" s="135"/>
    </row>
    <row r="41" spans="1:9" ht="60">
      <c r="A41" s="97"/>
      <c r="B41" s="136"/>
      <c r="C41" s="144"/>
      <c r="D41" s="136"/>
      <c r="E41" s="17" t="s">
        <v>86</v>
      </c>
      <c r="F41" s="139"/>
      <c r="G41" s="119"/>
      <c r="H41" s="119"/>
      <c r="I41" s="136"/>
    </row>
    <row r="42" spans="1:9">
      <c r="A42" s="97"/>
      <c r="B42" s="145" t="s">
        <v>87</v>
      </c>
      <c r="C42" s="145">
        <v>12</v>
      </c>
      <c r="D42" s="147" t="s">
        <v>88</v>
      </c>
      <c r="E42" s="18" t="s">
        <v>82</v>
      </c>
      <c r="F42" s="149"/>
      <c r="G42" s="146" t="s">
        <v>72</v>
      </c>
      <c r="H42" s="145" t="s">
        <v>89</v>
      </c>
      <c r="I42" s="147" t="s">
        <v>90</v>
      </c>
    </row>
    <row r="43" spans="1:9" ht="60">
      <c r="A43" s="97"/>
      <c r="B43" s="146"/>
      <c r="C43" s="146"/>
      <c r="D43" s="148"/>
      <c r="E43" s="18" t="s">
        <v>91</v>
      </c>
      <c r="F43" s="150"/>
      <c r="G43" s="146"/>
      <c r="H43" s="146"/>
      <c r="I43" s="148"/>
    </row>
    <row r="44" spans="1:9" ht="60">
      <c r="A44" s="97"/>
      <c r="B44" s="146"/>
      <c r="C44" s="146"/>
      <c r="D44" s="148"/>
      <c r="E44" s="18" t="s">
        <v>92</v>
      </c>
      <c r="F44" s="150"/>
      <c r="G44" s="151"/>
      <c r="H44" s="146"/>
      <c r="I44" s="148"/>
    </row>
    <row r="45" spans="1:9">
      <c r="A45" s="152" t="s">
        <v>93</v>
      </c>
      <c r="B45" s="99" t="s">
        <v>94</v>
      </c>
      <c r="C45" s="99">
        <v>13</v>
      </c>
      <c r="D45" s="99" t="s">
        <v>95</v>
      </c>
      <c r="E45" s="7" t="s">
        <v>82</v>
      </c>
      <c r="F45" s="112"/>
      <c r="G45" s="105" t="s">
        <v>96</v>
      </c>
      <c r="H45" s="105" t="s">
        <v>97</v>
      </c>
      <c r="I45" s="102" t="s">
        <v>17</v>
      </c>
    </row>
    <row r="46" spans="1:9" ht="75">
      <c r="A46" s="153"/>
      <c r="B46" s="111"/>
      <c r="C46" s="100"/>
      <c r="D46" s="111"/>
      <c r="E46" s="7" t="s">
        <v>98</v>
      </c>
      <c r="F46" s="113"/>
      <c r="G46" s="106"/>
      <c r="H46" s="106"/>
      <c r="I46" s="103"/>
    </row>
    <row r="47" spans="1:9" ht="45">
      <c r="A47" s="153"/>
      <c r="B47" s="101"/>
      <c r="C47" s="101"/>
      <c r="D47" s="101"/>
      <c r="E47" s="7" t="s">
        <v>99</v>
      </c>
      <c r="F47" s="114"/>
      <c r="G47" s="107"/>
      <c r="H47" s="107"/>
      <c r="I47" s="104"/>
    </row>
    <row r="48" spans="1:9">
      <c r="A48" s="153"/>
      <c r="B48" s="99" t="s">
        <v>100</v>
      </c>
      <c r="C48" s="99">
        <v>14</v>
      </c>
      <c r="D48" s="99" t="s">
        <v>101</v>
      </c>
      <c r="E48" s="7" t="s">
        <v>31</v>
      </c>
      <c r="F48" s="112"/>
      <c r="G48" s="105" t="s">
        <v>15</v>
      </c>
      <c r="H48" s="105" t="s">
        <v>97</v>
      </c>
      <c r="I48" s="102" t="s">
        <v>17</v>
      </c>
    </row>
    <row r="49" spans="1:9" ht="90">
      <c r="A49" s="153"/>
      <c r="B49" s="100"/>
      <c r="C49" s="100"/>
      <c r="D49" s="100"/>
      <c r="E49" s="7" t="s">
        <v>102</v>
      </c>
      <c r="F49" s="113"/>
      <c r="G49" s="106"/>
      <c r="H49" s="106"/>
      <c r="I49" s="103"/>
    </row>
    <row r="50" spans="1:9">
      <c r="A50" s="153"/>
      <c r="B50" s="100"/>
      <c r="C50" s="100"/>
      <c r="D50" s="100"/>
      <c r="E50" s="154" t="s">
        <v>103</v>
      </c>
      <c r="F50" s="113"/>
      <c r="G50" s="106"/>
      <c r="H50" s="106"/>
      <c r="I50" s="103"/>
    </row>
    <row r="51" spans="1:9">
      <c r="A51" s="153"/>
      <c r="B51" s="101"/>
      <c r="C51" s="101"/>
      <c r="D51" s="101"/>
      <c r="E51" s="101"/>
      <c r="F51" s="114"/>
      <c r="G51" s="107"/>
      <c r="H51" s="107"/>
      <c r="I51" s="104"/>
    </row>
    <row r="52" spans="1:9">
      <c r="A52" s="153"/>
      <c r="B52" s="99" t="s">
        <v>104</v>
      </c>
      <c r="C52" s="99">
        <v>15</v>
      </c>
      <c r="D52" s="99" t="s">
        <v>105</v>
      </c>
      <c r="E52" s="9" t="s">
        <v>82</v>
      </c>
      <c r="F52" s="112"/>
      <c r="G52" s="105" t="s">
        <v>106</v>
      </c>
      <c r="H52" s="105" t="s">
        <v>107</v>
      </c>
      <c r="I52" s="105" t="s">
        <v>33</v>
      </c>
    </row>
    <row r="53" spans="1:9" ht="60">
      <c r="A53" s="153"/>
      <c r="B53" s="100"/>
      <c r="C53" s="100"/>
      <c r="D53" s="100"/>
      <c r="E53" s="9" t="s">
        <v>108</v>
      </c>
      <c r="F53" s="115"/>
      <c r="G53" s="106"/>
      <c r="H53" s="106"/>
      <c r="I53" s="106"/>
    </row>
    <row r="54" spans="1:9" ht="30">
      <c r="A54" s="153"/>
      <c r="B54" s="101"/>
      <c r="C54" s="101"/>
      <c r="D54" s="101"/>
      <c r="E54" s="9" t="s">
        <v>109</v>
      </c>
      <c r="F54" s="114"/>
      <c r="G54" s="107"/>
      <c r="H54" s="107"/>
      <c r="I54" s="107"/>
    </row>
    <row r="55" spans="1:9">
      <c r="A55" s="153"/>
      <c r="B55" s="99" t="s">
        <v>110</v>
      </c>
      <c r="C55" s="155">
        <v>16</v>
      </c>
      <c r="D55" s="99" t="s">
        <v>111</v>
      </c>
      <c r="E55" s="9" t="s">
        <v>82</v>
      </c>
      <c r="F55" s="112"/>
      <c r="G55" s="158"/>
      <c r="H55" s="105" t="s">
        <v>112</v>
      </c>
      <c r="I55" s="105" t="s">
        <v>113</v>
      </c>
    </row>
    <row r="56" spans="1:9" ht="60">
      <c r="A56" s="153"/>
      <c r="B56" s="100"/>
      <c r="C56" s="156"/>
      <c r="D56" s="100"/>
      <c r="E56" s="9" t="s">
        <v>114</v>
      </c>
      <c r="F56" s="115"/>
      <c r="G56" s="116"/>
      <c r="H56" s="106"/>
      <c r="I56" s="106"/>
    </row>
    <row r="57" spans="1:9">
      <c r="A57" s="153"/>
      <c r="B57" s="100"/>
      <c r="C57" s="156"/>
      <c r="D57" s="101"/>
      <c r="E57" s="99" t="s">
        <v>115</v>
      </c>
      <c r="F57" s="115"/>
      <c r="G57" s="116"/>
      <c r="H57" s="106"/>
      <c r="I57" s="106"/>
    </row>
    <row r="58" spans="1:9" ht="28.5">
      <c r="A58" s="153"/>
      <c r="B58" s="100"/>
      <c r="C58" s="157"/>
      <c r="D58" s="3" t="s">
        <v>116</v>
      </c>
      <c r="E58" s="100"/>
      <c r="F58" s="114"/>
      <c r="G58" s="159"/>
      <c r="H58" s="106"/>
      <c r="I58" s="106"/>
    </row>
    <row r="59" spans="1:9" ht="45">
      <c r="A59" s="153"/>
      <c r="B59" s="100"/>
      <c r="C59" s="9">
        <v>17</v>
      </c>
      <c r="D59" s="9" t="s">
        <v>117</v>
      </c>
      <c r="E59" s="100"/>
      <c r="F59" s="10"/>
      <c r="G59" s="21" t="s">
        <v>76</v>
      </c>
      <c r="H59" s="106"/>
      <c r="I59" s="106"/>
    </row>
    <row r="60" spans="1:9" ht="60">
      <c r="A60" s="153"/>
      <c r="B60" s="100"/>
      <c r="C60" s="9">
        <v>18</v>
      </c>
      <c r="D60" s="9" t="s">
        <v>118</v>
      </c>
      <c r="E60" s="100"/>
      <c r="F60" s="10"/>
      <c r="G60" s="21" t="s">
        <v>76</v>
      </c>
      <c r="H60" s="106"/>
      <c r="I60" s="106"/>
    </row>
    <row r="61" spans="1:9" ht="45">
      <c r="A61" s="153"/>
      <c r="B61" s="100"/>
      <c r="C61" s="9">
        <v>19</v>
      </c>
      <c r="D61" s="9" t="s">
        <v>119</v>
      </c>
      <c r="E61" s="100"/>
      <c r="F61" s="10"/>
      <c r="G61" s="21" t="s">
        <v>76</v>
      </c>
      <c r="H61" s="106"/>
      <c r="I61" s="106"/>
    </row>
    <row r="62" spans="1:9" ht="30">
      <c r="A62" s="153"/>
      <c r="B62" s="100"/>
      <c r="C62" s="9">
        <v>20</v>
      </c>
      <c r="D62" s="22" t="s">
        <v>120</v>
      </c>
      <c r="E62" s="101"/>
      <c r="F62" s="10"/>
      <c r="G62" s="21" t="s">
        <v>76</v>
      </c>
      <c r="H62" s="107"/>
      <c r="I62" s="106"/>
    </row>
    <row r="63" spans="1:9">
      <c r="A63" s="153"/>
      <c r="B63" s="160" t="s">
        <v>121</v>
      </c>
      <c r="C63" s="160">
        <v>21</v>
      </c>
      <c r="D63" s="160" t="s">
        <v>122</v>
      </c>
      <c r="E63" s="23" t="s">
        <v>82</v>
      </c>
      <c r="F63" s="162"/>
      <c r="G63" s="165" t="s">
        <v>123</v>
      </c>
      <c r="H63" s="165" t="s">
        <v>124</v>
      </c>
      <c r="I63" s="165" t="s">
        <v>33</v>
      </c>
    </row>
    <row r="64" spans="1:9" ht="75">
      <c r="A64" s="153"/>
      <c r="B64" s="161"/>
      <c r="C64" s="161"/>
      <c r="D64" s="161"/>
      <c r="E64" s="23" t="s">
        <v>125</v>
      </c>
      <c r="F64" s="163"/>
      <c r="G64" s="166"/>
      <c r="H64" s="166"/>
      <c r="I64" s="166"/>
    </row>
    <row r="65" spans="1:9" ht="75">
      <c r="A65" s="153"/>
      <c r="B65" s="161"/>
      <c r="C65" s="161"/>
      <c r="D65" s="161"/>
      <c r="E65" s="23" t="s">
        <v>126</v>
      </c>
      <c r="F65" s="164"/>
      <c r="G65" s="166"/>
      <c r="H65" s="166"/>
      <c r="I65" s="166"/>
    </row>
    <row r="66" spans="1:9" ht="70.5" customHeight="1">
      <c r="A66" s="96" t="s">
        <v>127</v>
      </c>
      <c r="B66" s="99" t="s">
        <v>128</v>
      </c>
      <c r="C66" s="167">
        <v>22</v>
      </c>
      <c r="D66" s="99" t="s">
        <v>129</v>
      </c>
      <c r="E66" s="24"/>
      <c r="F66" s="170"/>
      <c r="G66" s="105" t="s">
        <v>130</v>
      </c>
      <c r="H66" s="105" t="s">
        <v>131</v>
      </c>
      <c r="I66" s="173" t="s">
        <v>61</v>
      </c>
    </row>
    <row r="67" spans="1:9" ht="90">
      <c r="A67" s="97"/>
      <c r="B67" s="100"/>
      <c r="C67" s="168"/>
      <c r="D67" s="100"/>
      <c r="E67" s="9" t="s">
        <v>132</v>
      </c>
      <c r="F67" s="171"/>
      <c r="G67" s="106"/>
      <c r="H67" s="106"/>
      <c r="I67" s="174"/>
    </row>
    <row r="68" spans="1:9" ht="45">
      <c r="A68" s="98"/>
      <c r="B68" s="101"/>
      <c r="C68" s="169"/>
      <c r="D68" s="101"/>
      <c r="E68" s="9" t="s">
        <v>133</v>
      </c>
      <c r="F68" s="172"/>
      <c r="G68" s="107"/>
      <c r="H68" s="107"/>
      <c r="I68" s="175"/>
    </row>
    <row r="69" spans="1:9" ht="73.5" customHeight="1">
      <c r="A69" s="176" t="s">
        <v>134</v>
      </c>
      <c r="B69" s="111" t="s">
        <v>135</v>
      </c>
      <c r="C69" s="177">
        <v>23</v>
      </c>
      <c r="D69" s="111" t="s">
        <v>136</v>
      </c>
      <c r="E69" s="28" t="s">
        <v>137</v>
      </c>
      <c r="F69" s="113"/>
      <c r="G69" s="178" t="s">
        <v>138</v>
      </c>
      <c r="H69" s="105" t="s">
        <v>139</v>
      </c>
      <c r="I69" s="105" t="s">
        <v>140</v>
      </c>
    </row>
    <row r="70" spans="1:9" ht="60">
      <c r="A70" s="176"/>
      <c r="B70" s="111"/>
      <c r="C70" s="177"/>
      <c r="D70" s="111"/>
      <c r="E70" s="7" t="s">
        <v>141</v>
      </c>
      <c r="F70" s="113"/>
      <c r="G70" s="178"/>
      <c r="H70" s="106"/>
      <c r="I70" s="106"/>
    </row>
    <row r="71" spans="1:9" ht="30">
      <c r="A71" s="176"/>
      <c r="B71" s="111"/>
      <c r="C71" s="177"/>
      <c r="D71" s="111"/>
      <c r="E71" s="7" t="s">
        <v>142</v>
      </c>
      <c r="F71" s="113"/>
      <c r="G71" s="178"/>
      <c r="H71" s="106"/>
      <c r="I71" s="106"/>
    </row>
    <row r="72" spans="1:9">
      <c r="A72" s="176"/>
      <c r="B72" s="111"/>
      <c r="C72" s="177"/>
      <c r="D72" s="111"/>
      <c r="E72" s="7" t="s">
        <v>143</v>
      </c>
      <c r="F72" s="113"/>
      <c r="G72" s="178"/>
      <c r="H72" s="106"/>
      <c r="I72" s="106"/>
    </row>
    <row r="73" spans="1:9">
      <c r="A73" s="176"/>
      <c r="B73" s="111"/>
      <c r="C73" s="177"/>
      <c r="D73" s="111"/>
      <c r="E73" s="7" t="s">
        <v>144</v>
      </c>
      <c r="F73" s="113"/>
      <c r="G73" s="178" t="s">
        <v>145</v>
      </c>
      <c r="H73" s="106"/>
      <c r="I73" s="106"/>
    </row>
    <row r="74" spans="1:9" ht="60">
      <c r="A74" s="176"/>
      <c r="B74" s="111"/>
      <c r="C74" s="177"/>
      <c r="D74" s="111"/>
      <c r="E74" s="7" t="s">
        <v>146</v>
      </c>
      <c r="F74" s="113"/>
      <c r="G74" s="178"/>
      <c r="H74" s="106"/>
      <c r="I74" s="106"/>
    </row>
    <row r="75" spans="1:9" ht="45">
      <c r="A75" s="176"/>
      <c r="B75" s="111"/>
      <c r="C75" s="177"/>
      <c r="D75" s="111"/>
      <c r="E75" s="7" t="s">
        <v>147</v>
      </c>
      <c r="F75" s="113"/>
      <c r="G75" s="178"/>
      <c r="H75" s="107"/>
      <c r="I75" s="107"/>
    </row>
    <row r="76" spans="1:9" ht="59.25" customHeight="1">
      <c r="A76" s="176"/>
      <c r="B76" s="111" t="s">
        <v>148</v>
      </c>
      <c r="C76" s="177">
        <v>24</v>
      </c>
      <c r="D76" s="111" t="s">
        <v>149</v>
      </c>
      <c r="E76" s="23" t="s">
        <v>137</v>
      </c>
      <c r="F76" s="171"/>
      <c r="G76" s="178" t="s">
        <v>150</v>
      </c>
      <c r="H76" s="105" t="s">
        <v>139</v>
      </c>
      <c r="I76" s="105" t="s">
        <v>140</v>
      </c>
    </row>
    <row r="77" spans="1:9" ht="60">
      <c r="A77" s="176"/>
      <c r="B77" s="111"/>
      <c r="C77" s="177"/>
      <c r="D77" s="111"/>
      <c r="E77" s="18" t="s">
        <v>151</v>
      </c>
      <c r="F77" s="171"/>
      <c r="G77" s="178"/>
      <c r="H77" s="106"/>
      <c r="I77" s="106"/>
    </row>
    <row r="78" spans="1:9" ht="45">
      <c r="A78" s="176"/>
      <c r="B78" s="111"/>
      <c r="C78" s="177"/>
      <c r="D78" s="111"/>
      <c r="E78" s="29" t="s">
        <v>152</v>
      </c>
      <c r="F78" s="171"/>
      <c r="G78" s="178"/>
      <c r="H78" s="106"/>
      <c r="I78" s="106"/>
    </row>
    <row r="79" spans="1:9" ht="30">
      <c r="A79" s="176"/>
      <c r="B79" s="111"/>
      <c r="C79" s="177"/>
      <c r="D79" s="111"/>
      <c r="E79" s="30" t="s">
        <v>153</v>
      </c>
      <c r="F79" s="171"/>
      <c r="G79" s="178"/>
      <c r="H79" s="106"/>
      <c r="I79" s="106"/>
    </row>
    <row r="80" spans="1:9">
      <c r="A80" s="176"/>
      <c r="B80" s="111"/>
      <c r="C80" s="177"/>
      <c r="D80" s="111"/>
      <c r="E80" s="30" t="s">
        <v>154</v>
      </c>
      <c r="F80" s="171"/>
      <c r="G80" s="178" t="s">
        <v>155</v>
      </c>
      <c r="H80" s="106"/>
      <c r="I80" s="106"/>
    </row>
    <row r="81" spans="1:9" ht="75">
      <c r="A81" s="176"/>
      <c r="B81" s="111"/>
      <c r="C81" s="177"/>
      <c r="D81" s="111"/>
      <c r="E81" s="30" t="s">
        <v>156</v>
      </c>
      <c r="F81" s="171"/>
      <c r="G81" s="178"/>
      <c r="H81" s="106"/>
      <c r="I81" s="106"/>
    </row>
    <row r="82" spans="1:9" ht="30">
      <c r="A82" s="176"/>
      <c r="B82" s="111"/>
      <c r="C82" s="177"/>
      <c r="D82" s="111"/>
      <c r="E82" s="30" t="s">
        <v>157</v>
      </c>
      <c r="F82" s="171"/>
      <c r="G82" s="178"/>
      <c r="H82" s="107"/>
      <c r="I82" s="107"/>
    </row>
    <row r="83" spans="1:9">
      <c r="A83" s="96" t="s">
        <v>158</v>
      </c>
      <c r="B83" s="99" t="s">
        <v>159</v>
      </c>
      <c r="C83" s="99">
        <v>25</v>
      </c>
      <c r="D83" s="99" t="s">
        <v>160</v>
      </c>
      <c r="E83" s="18" t="s">
        <v>75</v>
      </c>
      <c r="F83" s="170"/>
      <c r="G83" s="105" t="s">
        <v>161</v>
      </c>
      <c r="H83" s="105" t="s">
        <v>162</v>
      </c>
      <c r="I83" s="105" t="s">
        <v>17</v>
      </c>
    </row>
    <row r="84" spans="1:9" ht="60">
      <c r="A84" s="97"/>
      <c r="B84" s="100"/>
      <c r="C84" s="100"/>
      <c r="D84" s="100"/>
      <c r="E84" s="30" t="s">
        <v>163</v>
      </c>
      <c r="F84" s="179"/>
      <c r="G84" s="106"/>
      <c r="H84" s="106"/>
      <c r="I84" s="106"/>
    </row>
    <row r="85" spans="1:9" ht="60">
      <c r="A85" s="97"/>
      <c r="B85" s="101"/>
      <c r="C85" s="101"/>
      <c r="D85" s="101"/>
      <c r="E85" s="30" t="s">
        <v>164</v>
      </c>
      <c r="F85" s="172"/>
      <c r="G85" s="107"/>
      <c r="H85" s="107"/>
      <c r="I85" s="107"/>
    </row>
    <row r="86" spans="1:9">
      <c r="A86" s="97"/>
      <c r="B86" s="99" t="s">
        <v>165</v>
      </c>
      <c r="C86" s="99">
        <v>26</v>
      </c>
      <c r="D86" s="99" t="s">
        <v>166</v>
      </c>
      <c r="E86" s="18" t="s">
        <v>82</v>
      </c>
      <c r="F86" s="170"/>
      <c r="G86" s="105" t="s">
        <v>167</v>
      </c>
      <c r="H86" s="105" t="s">
        <v>168</v>
      </c>
      <c r="I86" s="105" t="s">
        <v>17</v>
      </c>
    </row>
    <row r="87" spans="1:9" ht="45">
      <c r="A87" s="97"/>
      <c r="B87" s="100"/>
      <c r="C87" s="100"/>
      <c r="D87" s="100"/>
      <c r="E87" s="30" t="s">
        <v>169</v>
      </c>
      <c r="F87" s="179"/>
      <c r="G87" s="106"/>
      <c r="H87" s="106"/>
      <c r="I87" s="106"/>
    </row>
    <row r="88" spans="1:9" ht="60">
      <c r="A88" s="97"/>
      <c r="B88" s="101"/>
      <c r="C88" s="101"/>
      <c r="D88" s="101"/>
      <c r="E88" s="30" t="s">
        <v>170</v>
      </c>
      <c r="F88" s="172"/>
      <c r="G88" s="107"/>
      <c r="H88" s="107"/>
      <c r="I88" s="107"/>
    </row>
    <row r="89" spans="1:9" ht="22.5" customHeight="1">
      <c r="A89" s="97"/>
      <c r="B89" s="161" t="s">
        <v>171</v>
      </c>
      <c r="C89" s="161">
        <v>27</v>
      </c>
      <c r="D89" s="161" t="s">
        <v>172</v>
      </c>
      <c r="E89" s="18" t="s">
        <v>82</v>
      </c>
      <c r="F89" s="180"/>
      <c r="G89" s="165" t="s">
        <v>123</v>
      </c>
      <c r="H89" s="165" t="s">
        <v>173</v>
      </c>
      <c r="I89" s="165" t="s">
        <v>17</v>
      </c>
    </row>
    <row r="90" spans="1:9" ht="52.5" customHeight="1">
      <c r="A90" s="97"/>
      <c r="B90" s="161"/>
      <c r="C90" s="161"/>
      <c r="D90" s="161"/>
      <c r="E90" s="18" t="s">
        <v>174</v>
      </c>
      <c r="F90" s="181"/>
      <c r="G90" s="166"/>
      <c r="H90" s="166"/>
      <c r="I90" s="166"/>
    </row>
    <row r="91" spans="1:9" ht="54.75" customHeight="1">
      <c r="A91" s="98"/>
      <c r="B91" s="161"/>
      <c r="C91" s="161"/>
      <c r="D91" s="161"/>
      <c r="E91" s="18" t="s">
        <v>175</v>
      </c>
      <c r="F91" s="181"/>
      <c r="G91" s="166"/>
      <c r="H91" s="166"/>
      <c r="I91" s="166"/>
    </row>
    <row r="92" spans="1:9">
      <c r="A92" s="96" t="s">
        <v>176</v>
      </c>
      <c r="B92" s="99" t="s">
        <v>177</v>
      </c>
      <c r="C92" s="99">
        <v>28</v>
      </c>
      <c r="D92" s="99" t="s">
        <v>178</v>
      </c>
      <c r="E92" s="18" t="s">
        <v>23</v>
      </c>
      <c r="F92" s="170"/>
      <c r="G92" s="105" t="s">
        <v>179</v>
      </c>
      <c r="H92" s="105" t="s">
        <v>180</v>
      </c>
      <c r="I92" s="105" t="s">
        <v>181</v>
      </c>
    </row>
    <row r="93" spans="1:9" ht="45">
      <c r="A93" s="97"/>
      <c r="B93" s="100"/>
      <c r="C93" s="100"/>
      <c r="D93" s="100"/>
      <c r="E93" s="18" t="s">
        <v>182</v>
      </c>
      <c r="F93" s="179"/>
      <c r="G93" s="106"/>
      <c r="H93" s="106"/>
      <c r="I93" s="106"/>
    </row>
    <row r="94" spans="1:9" ht="60">
      <c r="A94" s="98"/>
      <c r="B94" s="101"/>
      <c r="C94" s="101"/>
      <c r="D94" s="101"/>
      <c r="E94" s="18" t="s">
        <v>183</v>
      </c>
      <c r="F94" s="172"/>
      <c r="G94" s="107"/>
      <c r="H94" s="107"/>
      <c r="I94" s="107"/>
    </row>
    <row r="95" spans="1:9">
      <c r="A95" s="31"/>
      <c r="B95" s="19"/>
      <c r="C95" s="32"/>
      <c r="D95" s="19"/>
      <c r="E95" s="33"/>
      <c r="F95" s="34"/>
      <c r="G95" s="35"/>
      <c r="H95" s="35"/>
      <c r="I95" s="35"/>
    </row>
    <row r="97" spans="1:9" ht="60">
      <c r="A97" s="182" t="s">
        <v>184</v>
      </c>
      <c r="B97" s="183"/>
      <c r="C97" s="183"/>
      <c r="D97" s="184"/>
      <c r="E97" s="36" t="s">
        <v>185</v>
      </c>
      <c r="F97" s="37" t="s">
        <v>186</v>
      </c>
      <c r="G97" s="188" t="s">
        <v>187</v>
      </c>
      <c r="H97" s="189"/>
      <c r="I97" s="190"/>
    </row>
    <row r="98" spans="1:9">
      <c r="A98" s="185"/>
      <c r="B98" s="186"/>
      <c r="C98" s="186"/>
      <c r="D98" s="187"/>
      <c r="E98" s="38">
        <f>SUM(F6:F79)</f>
        <v>0</v>
      </c>
      <c r="F98" s="39">
        <f>SUM(F6:F79)/COUNT(C6:C79)</f>
        <v>0</v>
      </c>
      <c r="G98" s="191" t="s">
        <v>188</v>
      </c>
      <c r="H98" s="192"/>
      <c r="I98" s="193"/>
    </row>
    <row r="99" spans="1:9">
      <c r="A99" s="40"/>
      <c r="B99" s="41"/>
      <c r="C99" s="41"/>
      <c r="D99" s="41"/>
      <c r="E99" s="42"/>
      <c r="F99" s="43"/>
      <c r="G99" s="44"/>
      <c r="H99" s="44"/>
      <c r="I99" s="44"/>
    </row>
    <row r="100" spans="1:9">
      <c r="A100" s="45" t="s">
        <v>189</v>
      </c>
      <c r="B100" s="46" t="s">
        <v>190</v>
      </c>
      <c r="E100" s="47" t="s">
        <v>191</v>
      </c>
      <c r="F100" s="48"/>
      <c r="G100" s="48"/>
      <c r="H100" s="48"/>
    </row>
    <row r="102" spans="1:9" ht="29.25">
      <c r="A102" s="49" t="s">
        <v>192</v>
      </c>
      <c r="B102" s="194" t="s">
        <v>193</v>
      </c>
      <c r="C102" s="194"/>
      <c r="D102" s="194"/>
    </row>
    <row r="103" spans="1:9">
      <c r="B103" s="50" t="s">
        <v>194</v>
      </c>
      <c r="C103" s="51"/>
      <c r="D103" s="51"/>
    </row>
    <row r="104" spans="1:9">
      <c r="B104" s="195" t="s">
        <v>195</v>
      </c>
      <c r="C104" s="195"/>
      <c r="D104" s="195"/>
    </row>
    <row r="105" spans="1:9">
      <c r="B105" s="52" t="s">
        <v>196</v>
      </c>
      <c r="C105" s="53"/>
      <c r="D105" s="53"/>
    </row>
    <row r="106" spans="1:9">
      <c r="B106" s="54" t="s">
        <v>197</v>
      </c>
      <c r="C106" s="55"/>
      <c r="D106" s="55"/>
    </row>
    <row r="107" spans="1:9">
      <c r="B107" s="56" t="s">
        <v>198</v>
      </c>
      <c r="C107" s="57"/>
      <c r="D107" s="57"/>
    </row>
    <row r="108" spans="1:9">
      <c r="B108" t="s">
        <v>199</v>
      </c>
    </row>
  </sheetData>
  <mergeCells count="188">
    <mergeCell ref="B102:D102"/>
    <mergeCell ref="B104:D104"/>
    <mergeCell ref="A92:A94"/>
    <mergeCell ref="B92:B94"/>
    <mergeCell ref="C92:C94"/>
    <mergeCell ref="D92:D94"/>
    <mergeCell ref="F92:F94"/>
    <mergeCell ref="G92:G94"/>
    <mergeCell ref="H92:H94"/>
    <mergeCell ref="I92:I94"/>
    <mergeCell ref="A97:D98"/>
    <mergeCell ref="G97:I97"/>
    <mergeCell ref="G98:I98"/>
    <mergeCell ref="A83:A91"/>
    <mergeCell ref="B83:B85"/>
    <mergeCell ref="C83:C85"/>
    <mergeCell ref="D83:D85"/>
    <mergeCell ref="F83:F85"/>
    <mergeCell ref="G83:G85"/>
    <mergeCell ref="H83:H85"/>
    <mergeCell ref="I83:I85"/>
    <mergeCell ref="B86:B88"/>
    <mergeCell ref="C86:C88"/>
    <mergeCell ref="D86:D88"/>
    <mergeCell ref="F86:F88"/>
    <mergeCell ref="G86:G88"/>
    <mergeCell ref="H86:H88"/>
    <mergeCell ref="I86:I88"/>
    <mergeCell ref="B89:B91"/>
    <mergeCell ref="C89:C91"/>
    <mergeCell ref="D89:D91"/>
    <mergeCell ref="F89:F91"/>
    <mergeCell ref="G89:G91"/>
    <mergeCell ref="H89:H91"/>
    <mergeCell ref="I89:I91"/>
    <mergeCell ref="A69:A82"/>
    <mergeCell ref="B69:B75"/>
    <mergeCell ref="C69:C75"/>
    <mergeCell ref="D69:D75"/>
    <mergeCell ref="F69:F75"/>
    <mergeCell ref="G69:G72"/>
    <mergeCell ref="H69:H75"/>
    <mergeCell ref="I69:I75"/>
    <mergeCell ref="G73:G75"/>
    <mergeCell ref="B76:B82"/>
    <mergeCell ref="C76:C82"/>
    <mergeCell ref="D76:D82"/>
    <mergeCell ref="F76:F82"/>
    <mergeCell ref="G76:G79"/>
    <mergeCell ref="H76:H82"/>
    <mergeCell ref="I76:I82"/>
    <mergeCell ref="G80:G82"/>
    <mergeCell ref="B63:B65"/>
    <mergeCell ref="C63:C65"/>
    <mergeCell ref="D63:D65"/>
    <mergeCell ref="F63:F65"/>
    <mergeCell ref="G63:G65"/>
    <mergeCell ref="H63:H65"/>
    <mergeCell ref="I63:I65"/>
    <mergeCell ref="A66:A68"/>
    <mergeCell ref="B66:B68"/>
    <mergeCell ref="C66:C68"/>
    <mergeCell ref="D66:D68"/>
    <mergeCell ref="F66:F68"/>
    <mergeCell ref="G66:G68"/>
    <mergeCell ref="H66:H68"/>
    <mergeCell ref="I66:I68"/>
    <mergeCell ref="C52:C54"/>
    <mergeCell ref="D52:D54"/>
    <mergeCell ref="F52:F54"/>
    <mergeCell ref="G52:G54"/>
    <mergeCell ref="H52:H54"/>
    <mergeCell ref="I52:I54"/>
    <mergeCell ref="B55:B62"/>
    <mergeCell ref="C55:C58"/>
    <mergeCell ref="D55:D57"/>
    <mergeCell ref="F55:F58"/>
    <mergeCell ref="G55:G58"/>
    <mergeCell ref="H55:H62"/>
    <mergeCell ref="I55:I62"/>
    <mergeCell ref="E57:E62"/>
    <mergeCell ref="B42:B44"/>
    <mergeCell ref="C42:C44"/>
    <mergeCell ref="D42:D44"/>
    <mergeCell ref="F42:F44"/>
    <mergeCell ref="G42:G44"/>
    <mergeCell ref="H42:H44"/>
    <mergeCell ref="I42:I44"/>
    <mergeCell ref="A45:A65"/>
    <mergeCell ref="B45:B47"/>
    <mergeCell ref="C45:C47"/>
    <mergeCell ref="D45:D47"/>
    <mergeCell ref="F45:F47"/>
    <mergeCell ref="G45:G47"/>
    <mergeCell ref="H45:H47"/>
    <mergeCell ref="I45:I47"/>
    <mergeCell ref="B48:B51"/>
    <mergeCell ref="C48:C51"/>
    <mergeCell ref="D48:D51"/>
    <mergeCell ref="F48:F51"/>
    <mergeCell ref="G48:G51"/>
    <mergeCell ref="H48:H51"/>
    <mergeCell ref="I48:I51"/>
    <mergeCell ref="E50:E51"/>
    <mergeCell ref="B52:B54"/>
    <mergeCell ref="D36:D38"/>
    <mergeCell ref="F36:F38"/>
    <mergeCell ref="G36:G38"/>
    <mergeCell ref="H36:H38"/>
    <mergeCell ref="I36:I38"/>
    <mergeCell ref="B39:B41"/>
    <mergeCell ref="C39:C41"/>
    <mergeCell ref="D39:D41"/>
    <mergeCell ref="F39:F41"/>
    <mergeCell ref="G39:G41"/>
    <mergeCell ref="H39:H41"/>
    <mergeCell ref="I39:I41"/>
    <mergeCell ref="A27:A44"/>
    <mergeCell ref="B27:B29"/>
    <mergeCell ref="C27:C29"/>
    <mergeCell ref="D27:D29"/>
    <mergeCell ref="F27:F29"/>
    <mergeCell ref="G27:G29"/>
    <mergeCell ref="H27:H29"/>
    <mergeCell ref="I27:I29"/>
    <mergeCell ref="B30:B32"/>
    <mergeCell ref="C30:C32"/>
    <mergeCell ref="D30:D32"/>
    <mergeCell ref="F30:F32"/>
    <mergeCell ref="G30:G32"/>
    <mergeCell ref="H30:H32"/>
    <mergeCell ref="I30:I32"/>
    <mergeCell ref="B33:B35"/>
    <mergeCell ref="C33:C35"/>
    <mergeCell ref="D33:D35"/>
    <mergeCell ref="F33:F35"/>
    <mergeCell ref="G33:G35"/>
    <mergeCell ref="H33:H35"/>
    <mergeCell ref="I33:I35"/>
    <mergeCell ref="B36:B38"/>
    <mergeCell ref="C36:C38"/>
    <mergeCell ref="C18:C23"/>
    <mergeCell ref="D18:D23"/>
    <mergeCell ref="F18:F23"/>
    <mergeCell ref="G18:G23"/>
    <mergeCell ref="H18:H23"/>
    <mergeCell ref="I18:I23"/>
    <mergeCell ref="B24:B26"/>
    <mergeCell ref="C24:C26"/>
    <mergeCell ref="D24:D26"/>
    <mergeCell ref="F24:F26"/>
    <mergeCell ref="G24:G26"/>
    <mergeCell ref="H24:H26"/>
    <mergeCell ref="I24:I26"/>
    <mergeCell ref="A9:A11"/>
    <mergeCell ref="B9:B11"/>
    <mergeCell ref="C9:C11"/>
    <mergeCell ref="D9:D11"/>
    <mergeCell ref="F9:F11"/>
    <mergeCell ref="G9:G11"/>
    <mergeCell ref="H9:H11"/>
    <mergeCell ref="I9:I11"/>
    <mergeCell ref="A12:A26"/>
    <mergeCell ref="B12:B14"/>
    <mergeCell ref="C12:C14"/>
    <mergeCell ref="D12:D14"/>
    <mergeCell ref="F12:F14"/>
    <mergeCell ref="G12:G14"/>
    <mergeCell ref="H12:H14"/>
    <mergeCell ref="I12:I14"/>
    <mergeCell ref="B15:B17"/>
    <mergeCell ref="C15:C17"/>
    <mergeCell ref="D15:D17"/>
    <mergeCell ref="F15:F17"/>
    <mergeCell ref="G15:G17"/>
    <mergeCell ref="H15:H17"/>
    <mergeCell ref="I15:I17"/>
    <mergeCell ref="B18:B23"/>
    <mergeCell ref="A1:I1"/>
    <mergeCell ref="A3:I3"/>
    <mergeCell ref="A6:A8"/>
    <mergeCell ref="B6:B8"/>
    <mergeCell ref="C6:C8"/>
    <mergeCell ref="D6:D8"/>
    <mergeCell ref="F6:F8"/>
    <mergeCell ref="G6:G8"/>
    <mergeCell ref="H6:H8"/>
    <mergeCell ref="I6:I8"/>
  </mergeCells>
  <conditionalFormatting sqref="G98:I98">
    <cfRule type="containsText" dxfId="19" priority="1" operator="containsText" text="Нет заначения">
      <formula>NOT(ISERROR(SEARCH("Нет заначения",G71)))</formula>
    </cfRule>
    <cfRule type="containsText" dxfId="18" priority="2" operator="containsText" text="Невозможно измерить">
      <formula>NOT(ISERROR(SEARCH("Невозможно измерить",G71)))</formula>
    </cfRule>
    <cfRule type="containsText" dxfId="17" priority="3" operator="containsText" text="Низкий уровень">
      <formula>NOT(ISERROR(SEARCH("Низкий уровень",G71)))</formula>
    </cfRule>
    <cfRule type="containsText" dxfId="16" priority="4" operator="containsText" text="Ниже среднего">
      <formula>NOT(ISERROR(SEARCH("Ниже среднего",G71)))</formula>
    </cfRule>
    <cfRule type="containsText" dxfId="15" priority="5" operator="containsText" text="Средний уровень">
      <formula>NOT(ISERROR(SEARCH("Средний уровень",G71)))</formula>
    </cfRule>
    <cfRule type="containsText" dxfId="14" priority="6" operator="containsText" text="Выше среднего">
      <formula>NOT(ISERROR(SEARCH("Выше среднего",G71)))</formula>
    </cfRule>
    <cfRule type="containsText" dxfId="13" priority="7" operator="containsText" text="Высокий уровень">
      <formula>NOT(ISERROR(SEARCH("Высокий уровень",G71)))</formula>
    </cfRule>
  </conditionalFormatting>
  <pageMargins left="0.70078740157480324" right="0.70078740157480324" top="0.75196850393700787" bottom="0.75196850393700787" header="0.3" footer="0.3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#REF!</xm:f>
          </x14:formula1>
          <xm:sqref>G98:I98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3"/>
  <sheetViews>
    <sheetView tabSelected="1" workbookViewId="0">
      <selection activeCell="R20" sqref="R20"/>
    </sheetView>
  </sheetViews>
  <sheetFormatPr defaultRowHeight="15"/>
  <cols>
    <col min="1" max="1" width="20" customWidth="1"/>
    <col min="2" max="2" width="4.5703125" customWidth="1"/>
    <col min="3" max="3" width="21.140625" customWidth="1"/>
    <col min="4" max="4" width="15.28515625" customWidth="1"/>
    <col min="5" max="5" width="17.140625" customWidth="1"/>
    <col min="6" max="6" width="29.7109375" customWidth="1"/>
    <col min="7" max="7" width="25.7109375" customWidth="1"/>
    <col min="8" max="8" width="1.42578125" hidden="1" customWidth="1"/>
    <col min="9" max="9" width="1.140625" customWidth="1"/>
  </cols>
  <sheetData>
    <row r="1" spans="1:7" ht="15.75">
      <c r="A1" s="196" t="s">
        <v>200</v>
      </c>
      <c r="B1" s="196"/>
      <c r="C1" s="196"/>
      <c r="D1" s="196"/>
      <c r="E1" s="196"/>
      <c r="F1" s="196"/>
      <c r="G1" s="58"/>
    </row>
    <row r="2" spans="1:7" ht="15.75">
      <c r="A2" s="58"/>
      <c r="B2" s="58"/>
      <c r="C2" s="58"/>
      <c r="D2" s="58"/>
      <c r="E2" s="58"/>
      <c r="F2" s="58"/>
      <c r="G2" s="58"/>
    </row>
    <row r="3" spans="1:7" ht="15.75">
      <c r="A3" s="196" t="s">
        <v>201</v>
      </c>
      <c r="B3" s="196"/>
      <c r="C3" s="196"/>
      <c r="D3" s="196"/>
      <c r="E3" s="196"/>
      <c r="F3" s="196"/>
      <c r="G3" s="196"/>
    </row>
    <row r="4" spans="1:7" ht="15.75">
      <c r="A4" s="197" t="s">
        <v>202</v>
      </c>
      <c r="B4" s="197"/>
      <c r="C4" s="197"/>
      <c r="D4" s="197"/>
      <c r="E4" s="197"/>
      <c r="F4" s="197"/>
      <c r="G4" s="197"/>
    </row>
    <row r="5" spans="1:7" ht="15.75">
      <c r="A5" s="59"/>
      <c r="B5" s="59"/>
      <c r="C5" s="59"/>
      <c r="D5" s="59"/>
      <c r="E5" s="59"/>
      <c r="F5" s="59"/>
      <c r="G5" s="58"/>
    </row>
    <row r="6" spans="1:7" ht="15.75">
      <c r="A6" s="60" t="s">
        <v>203</v>
      </c>
      <c r="B6" s="60"/>
      <c r="C6" s="58"/>
      <c r="D6" s="58"/>
      <c r="E6" s="58"/>
      <c r="F6" s="58"/>
      <c r="G6" s="58"/>
    </row>
    <row r="7" spans="1:7" ht="63" customHeight="1">
      <c r="A7" s="198" t="s">
        <v>2</v>
      </c>
      <c r="B7" s="198" t="s">
        <v>4</v>
      </c>
      <c r="C7" s="198" t="s">
        <v>204</v>
      </c>
      <c r="D7" s="200" t="s">
        <v>187</v>
      </c>
      <c r="E7" s="201"/>
      <c r="F7" s="202" t="s">
        <v>205</v>
      </c>
      <c r="G7" s="204" t="s">
        <v>206</v>
      </c>
    </row>
    <row r="8" spans="1:7" ht="29.25" customHeight="1">
      <c r="A8" s="199"/>
      <c r="B8" s="199"/>
      <c r="C8" s="199"/>
      <c r="D8" s="61" t="s">
        <v>207</v>
      </c>
      <c r="E8" s="61" t="s">
        <v>208</v>
      </c>
      <c r="F8" s="203"/>
      <c r="G8" s="205"/>
    </row>
    <row r="9" spans="1:7" ht="30">
      <c r="A9" s="7" t="s">
        <v>11</v>
      </c>
      <c r="B9" s="7">
        <v>1</v>
      </c>
      <c r="C9" s="9" t="s">
        <v>12</v>
      </c>
      <c r="D9" s="62"/>
      <c r="E9" s="63"/>
      <c r="F9" s="64"/>
      <c r="G9" s="65"/>
    </row>
    <row r="10" spans="1:7" ht="30">
      <c r="A10" s="66" t="s">
        <v>20</v>
      </c>
      <c r="B10" s="66">
        <v>2</v>
      </c>
      <c r="C10" s="67" t="s">
        <v>21</v>
      </c>
      <c r="D10" s="62"/>
      <c r="E10" s="63"/>
      <c r="F10" s="65"/>
      <c r="G10" s="65"/>
    </row>
    <row r="11" spans="1:7">
      <c r="A11" s="206" t="s">
        <v>28</v>
      </c>
      <c r="B11" s="66">
        <v>3</v>
      </c>
      <c r="C11" s="67" t="s">
        <v>29</v>
      </c>
      <c r="D11" s="68"/>
      <c r="E11" s="69"/>
      <c r="F11" s="65"/>
      <c r="G11" s="65"/>
    </row>
    <row r="12" spans="1:7">
      <c r="A12" s="207"/>
      <c r="B12" s="66">
        <v>4</v>
      </c>
      <c r="C12" s="67" t="s">
        <v>209</v>
      </c>
      <c r="D12" s="70"/>
      <c r="E12" s="71"/>
      <c r="F12" s="65"/>
      <c r="G12" s="65"/>
    </row>
    <row r="13" spans="1:7" ht="30">
      <c r="A13" s="207"/>
      <c r="B13" s="66">
        <v>5</v>
      </c>
      <c r="C13" s="67" t="s">
        <v>42</v>
      </c>
      <c r="D13" s="70"/>
      <c r="E13" s="71"/>
      <c r="F13" s="65"/>
      <c r="G13" s="65"/>
    </row>
    <row r="14" spans="1:7" ht="30">
      <c r="A14" s="207"/>
      <c r="B14" s="66">
        <v>6</v>
      </c>
      <c r="C14" s="67" t="s">
        <v>210</v>
      </c>
      <c r="D14" s="70"/>
      <c r="E14" s="71"/>
      <c r="F14" s="65"/>
      <c r="G14" s="65"/>
    </row>
    <row r="15" spans="1:7">
      <c r="A15" s="99" t="s">
        <v>56</v>
      </c>
      <c r="B15" s="9">
        <v>7</v>
      </c>
      <c r="C15" s="67" t="s">
        <v>211</v>
      </c>
      <c r="D15" s="70"/>
      <c r="E15" s="71"/>
      <c r="F15" s="65"/>
      <c r="G15" s="65"/>
    </row>
    <row r="16" spans="1:7" ht="60">
      <c r="A16" s="100"/>
      <c r="B16" s="9">
        <v>8</v>
      </c>
      <c r="C16" s="7" t="s">
        <v>212</v>
      </c>
      <c r="D16" s="72"/>
      <c r="E16" s="71"/>
      <c r="F16" s="65"/>
      <c r="G16" s="65"/>
    </row>
    <row r="17" spans="1:7" ht="60">
      <c r="A17" s="100"/>
      <c r="B17" s="9">
        <v>10</v>
      </c>
      <c r="C17" s="7" t="s">
        <v>213</v>
      </c>
      <c r="D17" s="72"/>
      <c r="E17" s="71"/>
      <c r="F17" s="65"/>
      <c r="G17" s="65"/>
    </row>
    <row r="18" spans="1:7" ht="60">
      <c r="A18" s="100"/>
      <c r="B18" s="9">
        <v>11</v>
      </c>
      <c r="C18" s="7" t="s">
        <v>214</v>
      </c>
      <c r="D18" s="73"/>
      <c r="E18" s="74"/>
      <c r="F18" s="65"/>
      <c r="G18" s="65"/>
    </row>
    <row r="19" spans="1:7" ht="30">
      <c r="A19" s="100"/>
      <c r="B19" s="9">
        <v>12</v>
      </c>
      <c r="C19" s="7" t="s">
        <v>215</v>
      </c>
      <c r="D19" s="73"/>
      <c r="E19" s="74"/>
      <c r="F19" s="65"/>
      <c r="G19" s="65"/>
    </row>
    <row r="20" spans="1:7" ht="30">
      <c r="A20" s="100"/>
      <c r="B20" s="9">
        <v>13</v>
      </c>
      <c r="C20" s="7" t="s">
        <v>216</v>
      </c>
      <c r="D20" s="73"/>
      <c r="E20" s="74"/>
      <c r="F20" s="65"/>
      <c r="G20" s="65"/>
    </row>
    <row r="21" spans="1:7" ht="45">
      <c r="A21" s="206" t="s">
        <v>93</v>
      </c>
      <c r="B21" s="66">
        <v>14</v>
      </c>
      <c r="C21" s="67" t="s">
        <v>217</v>
      </c>
      <c r="D21" s="70"/>
      <c r="E21" s="74"/>
      <c r="F21" s="65"/>
      <c r="G21" s="65"/>
    </row>
    <row r="22" spans="1:7" ht="30">
      <c r="A22" s="207"/>
      <c r="B22" s="66">
        <v>15</v>
      </c>
      <c r="C22" s="67" t="s">
        <v>100</v>
      </c>
      <c r="D22" s="70"/>
      <c r="E22" s="74"/>
      <c r="F22" s="65"/>
      <c r="G22" s="65"/>
    </row>
    <row r="23" spans="1:7" ht="30">
      <c r="A23" s="207"/>
      <c r="B23" s="66">
        <v>16</v>
      </c>
      <c r="C23" s="67" t="s">
        <v>104</v>
      </c>
      <c r="D23" s="70"/>
      <c r="E23" s="74"/>
      <c r="F23" s="65"/>
      <c r="G23" s="65"/>
    </row>
    <row r="24" spans="1:7" ht="75">
      <c r="A24" s="207"/>
      <c r="B24" s="66">
        <v>17</v>
      </c>
      <c r="C24" s="67" t="s">
        <v>110</v>
      </c>
      <c r="D24" s="70"/>
      <c r="E24" s="74"/>
      <c r="F24" s="65"/>
      <c r="G24" s="65"/>
    </row>
    <row r="25" spans="1:7" ht="45">
      <c r="A25" s="207"/>
      <c r="B25" s="167">
        <v>18</v>
      </c>
      <c r="C25" s="67" t="s">
        <v>218</v>
      </c>
      <c r="D25" s="209"/>
      <c r="E25" s="211"/>
      <c r="F25" s="213"/>
      <c r="G25" s="213"/>
    </row>
    <row r="26" spans="1:7" ht="28.5">
      <c r="A26" s="207"/>
      <c r="B26" s="169"/>
      <c r="C26" s="3" t="s">
        <v>116</v>
      </c>
      <c r="D26" s="210"/>
      <c r="E26" s="212"/>
      <c r="F26" s="214"/>
      <c r="G26" s="214"/>
    </row>
    <row r="27" spans="1:7" ht="45">
      <c r="A27" s="207"/>
      <c r="B27" s="66">
        <v>19</v>
      </c>
      <c r="C27" s="9" t="s">
        <v>117</v>
      </c>
      <c r="D27" s="70"/>
      <c r="E27" s="74"/>
      <c r="F27" s="65"/>
      <c r="G27" s="65"/>
    </row>
    <row r="28" spans="1:7" ht="60">
      <c r="A28" s="207"/>
      <c r="B28" s="66">
        <v>20</v>
      </c>
      <c r="C28" s="9" t="s">
        <v>118</v>
      </c>
      <c r="D28" s="70"/>
      <c r="E28" s="74"/>
      <c r="F28" s="65"/>
      <c r="G28" s="65"/>
    </row>
    <row r="29" spans="1:7" ht="45">
      <c r="A29" s="207"/>
      <c r="B29" s="66">
        <v>21</v>
      </c>
      <c r="C29" s="9" t="s">
        <v>119</v>
      </c>
      <c r="D29" s="70"/>
      <c r="E29" s="74"/>
      <c r="F29" s="65"/>
      <c r="G29" s="65"/>
    </row>
    <row r="30" spans="1:7" ht="30">
      <c r="A30" s="208"/>
      <c r="B30" s="66">
        <v>22</v>
      </c>
      <c r="C30" s="22" t="s">
        <v>120</v>
      </c>
      <c r="D30" s="70"/>
      <c r="E30" s="74"/>
      <c r="F30" s="65"/>
      <c r="G30" s="65"/>
    </row>
    <row r="31" spans="1:7">
      <c r="A31" s="6" t="s">
        <v>127</v>
      </c>
      <c r="B31" s="6">
        <v>23</v>
      </c>
      <c r="C31" s="67" t="s">
        <v>219</v>
      </c>
      <c r="D31" s="70"/>
      <c r="E31" s="74"/>
      <c r="F31" s="65"/>
      <c r="G31" s="65"/>
    </row>
    <row r="32" spans="1:7" ht="30">
      <c r="A32" s="99" t="s">
        <v>220</v>
      </c>
      <c r="B32" s="9">
        <v>24</v>
      </c>
      <c r="C32" s="67" t="s">
        <v>135</v>
      </c>
      <c r="D32" s="70"/>
      <c r="E32" s="74"/>
      <c r="F32" s="65"/>
      <c r="G32" s="65"/>
    </row>
    <row r="33" spans="1:9" ht="40.5" customHeight="1">
      <c r="A33" s="101"/>
      <c r="B33" s="9">
        <v>25</v>
      </c>
      <c r="C33" s="67" t="s">
        <v>148</v>
      </c>
      <c r="D33" s="70"/>
      <c r="E33" s="74"/>
      <c r="F33" s="65"/>
      <c r="G33" s="65"/>
    </row>
    <row r="34" spans="1:9">
      <c r="A34" s="99" t="s">
        <v>221</v>
      </c>
      <c r="B34" s="99">
        <v>26</v>
      </c>
      <c r="C34" s="99" t="s">
        <v>159</v>
      </c>
      <c r="D34" s="155"/>
      <c r="E34" s="99"/>
      <c r="F34" s="215"/>
      <c r="G34" s="170"/>
    </row>
    <row r="35" spans="1:9">
      <c r="A35" s="100"/>
      <c r="B35" s="100"/>
      <c r="C35" s="100"/>
      <c r="D35" s="156"/>
      <c r="E35" s="100"/>
      <c r="F35" s="216"/>
      <c r="G35" s="179"/>
    </row>
    <row r="36" spans="1:9" ht="67.5" customHeight="1">
      <c r="A36" s="100"/>
      <c r="B36" s="101"/>
      <c r="C36" s="101"/>
      <c r="D36" s="157"/>
      <c r="E36" s="101"/>
      <c r="F36" s="217"/>
      <c r="G36" s="172"/>
    </row>
    <row r="37" spans="1:9">
      <c r="A37" s="100"/>
      <c r="B37" s="99">
        <v>27</v>
      </c>
      <c r="C37" s="99" t="s">
        <v>165</v>
      </c>
      <c r="D37" s="155"/>
      <c r="E37" s="99"/>
      <c r="F37" s="218"/>
      <c r="G37" s="170"/>
    </row>
    <row r="38" spans="1:9">
      <c r="A38" s="100"/>
      <c r="B38" s="100"/>
      <c r="C38" s="100"/>
      <c r="D38" s="156"/>
      <c r="E38" s="100"/>
      <c r="F38" s="219"/>
      <c r="G38" s="179"/>
    </row>
    <row r="39" spans="1:9" ht="41.25" customHeight="1">
      <c r="A39" s="100"/>
      <c r="B39" s="101"/>
      <c r="C39" s="101"/>
      <c r="D39" s="157"/>
      <c r="E39" s="101"/>
      <c r="F39" s="220"/>
      <c r="G39" s="172"/>
    </row>
    <row r="40" spans="1:9" ht="30">
      <c r="A40" s="101"/>
      <c r="B40" s="8">
        <v>28</v>
      </c>
      <c r="C40" s="8" t="s">
        <v>171</v>
      </c>
      <c r="D40" s="20"/>
      <c r="E40" s="8"/>
      <c r="F40" s="75"/>
      <c r="G40" s="26"/>
    </row>
    <row r="41" spans="1:9" ht="60">
      <c r="A41" s="9" t="s">
        <v>176</v>
      </c>
      <c r="B41" s="9">
        <v>29</v>
      </c>
      <c r="C41" s="9" t="s">
        <v>222</v>
      </c>
      <c r="D41" s="27"/>
      <c r="E41" s="9"/>
      <c r="F41" s="76"/>
      <c r="G41" s="25"/>
    </row>
    <row r="42" spans="1:9">
      <c r="A42" s="19"/>
      <c r="B42" s="19"/>
      <c r="C42" s="19"/>
      <c r="D42" s="32"/>
      <c r="E42" s="19"/>
      <c r="F42" s="77"/>
      <c r="G42" s="34"/>
    </row>
    <row r="43" spans="1:9" ht="45">
      <c r="A43" s="182" t="s">
        <v>184</v>
      </c>
      <c r="B43" s="183"/>
      <c r="C43" s="183"/>
      <c r="D43" s="184"/>
      <c r="E43" s="36" t="s">
        <v>185</v>
      </c>
      <c r="F43" s="37" t="s">
        <v>186</v>
      </c>
      <c r="G43" s="188" t="s">
        <v>223</v>
      </c>
      <c r="H43" s="189"/>
      <c r="I43" s="190"/>
    </row>
    <row r="44" spans="1:9">
      <c r="A44" s="185"/>
      <c r="B44" s="186"/>
      <c r="C44" s="186"/>
      <c r="D44" s="187"/>
      <c r="E44" s="38"/>
      <c r="F44" s="39"/>
      <c r="G44" s="191" t="s">
        <v>188</v>
      </c>
      <c r="H44" s="192"/>
      <c r="I44" s="193"/>
    </row>
    <row r="45" spans="1:9">
      <c r="A45" s="78"/>
      <c r="B45" s="78"/>
      <c r="C45" s="78"/>
      <c r="D45" s="78"/>
      <c r="E45" s="78"/>
      <c r="F45" s="78"/>
      <c r="G45" s="78"/>
      <c r="H45" s="44"/>
      <c r="I45" s="44"/>
    </row>
    <row r="46" spans="1:9">
      <c r="A46" s="78"/>
      <c r="B46" s="78"/>
      <c r="C46" s="78"/>
      <c r="D46" s="78"/>
      <c r="E46" s="78"/>
      <c r="F46" s="78"/>
      <c r="G46" s="78"/>
    </row>
    <row r="47" spans="1:9">
      <c r="A47" s="78"/>
      <c r="B47" s="78"/>
      <c r="C47" s="78"/>
      <c r="D47" s="78"/>
      <c r="E47" s="78"/>
      <c r="F47" s="78"/>
      <c r="G47" s="78"/>
    </row>
    <row r="48" spans="1:9">
      <c r="A48" t="s">
        <v>224</v>
      </c>
    </row>
    <row r="49" spans="1:7">
      <c r="A49" s="79"/>
    </row>
    <row r="50" spans="1:7">
      <c r="A50" s="79"/>
    </row>
    <row r="51" spans="1:7">
      <c r="A51" s="221" t="s">
        <v>225</v>
      </c>
      <c r="B51" s="221"/>
      <c r="C51" s="221"/>
      <c r="D51" s="221"/>
      <c r="E51" s="221"/>
      <c r="F51" s="221"/>
      <c r="G51" s="221"/>
    </row>
    <row r="52" spans="1:7">
      <c r="A52" s="222" t="s">
        <v>226</v>
      </c>
      <c r="B52" s="222"/>
      <c r="C52" s="222"/>
      <c r="D52" s="222"/>
      <c r="E52" s="222"/>
      <c r="F52" s="222"/>
      <c r="G52" s="222"/>
    </row>
    <row r="53" spans="1:7" ht="43.5" customHeight="1">
      <c r="A53" s="223" t="s">
        <v>227</v>
      </c>
      <c r="B53" s="223"/>
      <c r="C53" s="81" t="s">
        <v>228</v>
      </c>
      <c r="D53" s="224" t="s">
        <v>229</v>
      </c>
      <c r="E53" s="225"/>
      <c r="F53" s="225"/>
      <c r="G53" s="226"/>
    </row>
    <row r="54" spans="1:7">
      <c r="A54" s="227"/>
      <c r="B54" s="228"/>
      <c r="C54" s="82"/>
      <c r="D54" s="229"/>
      <c r="E54" s="230"/>
      <c r="F54" s="230"/>
      <c r="G54" s="231"/>
    </row>
    <row r="55" spans="1:7">
      <c r="A55" s="83"/>
      <c r="B55" s="2"/>
      <c r="C55" s="84"/>
      <c r="D55" s="80"/>
      <c r="E55" s="80"/>
      <c r="F55" s="80"/>
      <c r="G55" s="80"/>
    </row>
    <row r="56" spans="1:7" ht="15.75">
      <c r="A56" s="232" t="s">
        <v>230</v>
      </c>
      <c r="B56" s="232"/>
      <c r="C56" s="232"/>
      <c r="D56" s="232"/>
      <c r="E56" s="232"/>
      <c r="F56" s="232"/>
      <c r="G56" s="232"/>
    </row>
    <row r="57" spans="1:7" ht="47.25" customHeight="1">
      <c r="A57" s="223" t="s">
        <v>231</v>
      </c>
      <c r="B57" s="223"/>
      <c r="C57" s="223"/>
      <c r="D57" s="223" t="s">
        <v>232</v>
      </c>
      <c r="E57" s="223"/>
      <c r="F57" s="85" t="s">
        <v>233</v>
      </c>
      <c r="G57" s="86"/>
    </row>
    <row r="58" spans="1:7" ht="90">
      <c r="A58" s="233" t="s">
        <v>2</v>
      </c>
      <c r="B58" s="234"/>
      <c r="C58" s="87" t="s">
        <v>3</v>
      </c>
      <c r="D58" s="88" t="s">
        <v>234</v>
      </c>
      <c r="E58" s="88" t="s">
        <v>235</v>
      </c>
      <c r="F58" s="229"/>
      <c r="G58" s="231"/>
    </row>
    <row r="59" spans="1:7">
      <c r="A59" s="235"/>
      <c r="B59" s="235"/>
      <c r="C59" s="1"/>
      <c r="D59" s="1"/>
      <c r="E59" s="1"/>
      <c r="F59" s="229"/>
      <c r="G59" s="231"/>
    </row>
    <row r="60" spans="1:7">
      <c r="A60" s="235"/>
      <c r="B60" s="235"/>
      <c r="C60" s="1"/>
      <c r="D60" s="1"/>
      <c r="E60" s="1"/>
      <c r="F60" s="229"/>
      <c r="G60" s="231"/>
    </row>
    <row r="61" spans="1:7">
      <c r="A61" s="235"/>
      <c r="B61" s="235"/>
      <c r="C61" s="1"/>
      <c r="D61" s="1"/>
      <c r="E61" s="1"/>
      <c r="F61" s="229"/>
      <c r="G61" s="231"/>
    </row>
    <row r="62" spans="1:7">
      <c r="A62" s="235"/>
      <c r="B62" s="235"/>
      <c r="C62" s="1"/>
      <c r="D62" s="1"/>
      <c r="E62" s="1"/>
      <c r="F62" s="229"/>
      <c r="G62" s="231"/>
    </row>
    <row r="63" spans="1:7">
      <c r="A63" s="235"/>
      <c r="B63" s="235"/>
      <c r="C63" s="1"/>
      <c r="D63" s="1"/>
      <c r="E63" s="1"/>
      <c r="F63" s="229"/>
      <c r="G63" s="231"/>
    </row>
    <row r="64" spans="1:7">
      <c r="A64" s="235"/>
      <c r="B64" s="235"/>
      <c r="C64" s="1"/>
      <c r="D64" s="1"/>
      <c r="E64" s="1"/>
      <c r="F64" s="229"/>
      <c r="G64" s="231"/>
    </row>
    <row r="65" spans="1:7">
      <c r="A65" s="235"/>
      <c r="B65" s="235"/>
      <c r="C65" s="1"/>
      <c r="D65" s="1"/>
      <c r="E65" s="1"/>
      <c r="F65" s="229"/>
      <c r="G65" s="231"/>
    </row>
    <row r="66" spans="1:7">
      <c r="A66" s="235"/>
      <c r="B66" s="235"/>
      <c r="C66" s="1"/>
      <c r="D66" s="1"/>
      <c r="E66" s="1"/>
      <c r="F66" s="229"/>
      <c r="G66" s="231"/>
    </row>
    <row r="67" spans="1:7">
      <c r="A67" s="235"/>
      <c r="B67" s="235"/>
      <c r="C67" s="1"/>
      <c r="D67" s="1"/>
      <c r="E67" s="1"/>
      <c r="F67" s="229"/>
      <c r="G67" s="231"/>
    </row>
    <row r="68" spans="1:7">
      <c r="A68" s="80"/>
      <c r="B68" s="80"/>
      <c r="C68" s="79"/>
      <c r="D68" s="79"/>
      <c r="E68" s="79"/>
      <c r="F68" s="79"/>
      <c r="G68" s="79"/>
    </row>
    <row r="69" spans="1:7">
      <c r="A69" s="45" t="s">
        <v>189</v>
      </c>
      <c r="B69" s="80"/>
      <c r="C69" s="79"/>
      <c r="D69" s="79"/>
      <c r="E69" s="47" t="s">
        <v>191</v>
      </c>
      <c r="F69" s="79"/>
      <c r="G69" s="79"/>
    </row>
    <row r="70" spans="1:7" ht="15.75">
      <c r="A70" s="89" t="s">
        <v>236</v>
      </c>
      <c r="B70" s="80"/>
      <c r="C70" s="79"/>
      <c r="D70" s="79"/>
      <c r="E70" s="79"/>
      <c r="F70" s="79"/>
      <c r="G70" s="79"/>
    </row>
    <row r="71" spans="1:7" ht="15.75">
      <c r="A71" s="89" t="s">
        <v>237</v>
      </c>
      <c r="B71" s="80"/>
      <c r="C71" s="79"/>
      <c r="D71" s="79"/>
      <c r="E71" s="79"/>
      <c r="F71" s="79"/>
      <c r="G71" s="79"/>
    </row>
    <row r="72" spans="1:7">
      <c r="A72" s="80"/>
      <c r="B72" s="80"/>
      <c r="C72" s="79"/>
      <c r="D72" s="79"/>
      <c r="E72" s="79"/>
      <c r="F72" s="79"/>
      <c r="G72" s="79"/>
    </row>
    <row r="73" spans="1:7">
      <c r="A73" s="80"/>
      <c r="B73" s="80"/>
      <c r="C73" s="79"/>
      <c r="D73" s="79"/>
      <c r="E73" s="79"/>
      <c r="F73" s="79"/>
      <c r="G73" s="79"/>
    </row>
    <row r="74" spans="1:7">
      <c r="A74" s="80"/>
      <c r="B74" s="80"/>
      <c r="C74" s="79"/>
      <c r="D74" s="79"/>
      <c r="E74" s="79"/>
      <c r="F74" s="79"/>
      <c r="G74" s="79"/>
    </row>
    <row r="76" spans="1:7">
      <c r="A76" s="90" t="s">
        <v>238</v>
      </c>
    </row>
    <row r="77" spans="1:7">
      <c r="A77" t="s">
        <v>239</v>
      </c>
      <c r="C77" s="194" t="s">
        <v>193</v>
      </c>
      <c r="D77" s="194"/>
      <c r="E77" s="194"/>
    </row>
    <row r="78" spans="1:7">
      <c r="C78" s="91" t="s">
        <v>194</v>
      </c>
      <c r="D78" s="91"/>
      <c r="E78" s="92"/>
    </row>
    <row r="79" spans="1:7">
      <c r="C79" s="195" t="s">
        <v>195</v>
      </c>
      <c r="D79" s="195"/>
      <c r="E79" s="195"/>
    </row>
    <row r="80" spans="1:7">
      <c r="C80" s="52" t="s">
        <v>196</v>
      </c>
      <c r="D80" s="52"/>
      <c r="E80" s="93"/>
    </row>
    <row r="81" spans="3:5">
      <c r="C81" s="54" t="s">
        <v>240</v>
      </c>
      <c r="D81" s="54"/>
      <c r="E81" s="54"/>
    </row>
    <row r="82" spans="3:5">
      <c r="C82" s="57" t="s">
        <v>241</v>
      </c>
      <c r="D82" s="57"/>
      <c r="E82" s="57"/>
    </row>
    <row r="83" spans="3:5">
      <c r="C83" s="236" t="s">
        <v>242</v>
      </c>
      <c r="D83" s="236"/>
      <c r="E83" s="236"/>
    </row>
  </sheetData>
  <mergeCells count="66">
    <mergeCell ref="C77:E77"/>
    <mergeCell ref="C79:E79"/>
    <mergeCell ref="C83:E83"/>
    <mergeCell ref="A65:B65"/>
    <mergeCell ref="F65:G65"/>
    <mergeCell ref="A66:B66"/>
    <mergeCell ref="F66:G66"/>
    <mergeCell ref="A67:B67"/>
    <mergeCell ref="F67:G67"/>
    <mergeCell ref="A62:B62"/>
    <mergeCell ref="F62:G62"/>
    <mergeCell ref="A63:B63"/>
    <mergeCell ref="F63:G63"/>
    <mergeCell ref="A64:B64"/>
    <mergeCell ref="F64:G64"/>
    <mergeCell ref="A59:B59"/>
    <mergeCell ref="F59:G59"/>
    <mergeCell ref="A60:B60"/>
    <mergeCell ref="F60:G60"/>
    <mergeCell ref="A61:B61"/>
    <mergeCell ref="F61:G61"/>
    <mergeCell ref="A56:G56"/>
    <mergeCell ref="A57:C57"/>
    <mergeCell ref="D57:E57"/>
    <mergeCell ref="A58:B58"/>
    <mergeCell ref="F58:G58"/>
    <mergeCell ref="A52:G52"/>
    <mergeCell ref="A53:B53"/>
    <mergeCell ref="D53:G53"/>
    <mergeCell ref="A54:B54"/>
    <mergeCell ref="D54:G54"/>
    <mergeCell ref="G37:G39"/>
    <mergeCell ref="A43:D44"/>
    <mergeCell ref="G43:I43"/>
    <mergeCell ref="G44:I44"/>
    <mergeCell ref="A51:G51"/>
    <mergeCell ref="E25:E26"/>
    <mergeCell ref="F25:F26"/>
    <mergeCell ref="G25:G26"/>
    <mergeCell ref="A32:A33"/>
    <mergeCell ref="A34:A40"/>
    <mergeCell ref="B34:B36"/>
    <mergeCell ref="C34:C36"/>
    <mergeCell ref="D34:D36"/>
    <mergeCell ref="E34:E36"/>
    <mergeCell ref="F34:F36"/>
    <mergeCell ref="G34:G36"/>
    <mergeCell ref="B37:B39"/>
    <mergeCell ref="C37:C39"/>
    <mergeCell ref="D37:D39"/>
    <mergeCell ref="E37:E39"/>
    <mergeCell ref="F37:F39"/>
    <mergeCell ref="A11:A14"/>
    <mergeCell ref="A15:A20"/>
    <mergeCell ref="A21:A30"/>
    <mergeCell ref="B25:B26"/>
    <mergeCell ref="D25:D26"/>
    <mergeCell ref="A1:F1"/>
    <mergeCell ref="A3:G3"/>
    <mergeCell ref="A4:G4"/>
    <mergeCell ref="A7:A8"/>
    <mergeCell ref="B7:B8"/>
    <mergeCell ref="C7:C8"/>
    <mergeCell ref="D7:E7"/>
    <mergeCell ref="F7:F8"/>
    <mergeCell ref="G7:G8"/>
  </mergeCells>
  <conditionalFormatting sqref="E9:E33">
    <cfRule type="containsText" dxfId="12" priority="1" operator="containsText" text="Невозможно измерить">
      <formula>NOT(ISERROR(SEARCH("Невозможно измерить",D9)))</formula>
    </cfRule>
    <cfRule type="containsText" dxfId="11" priority="2" operator="containsText" text="Низкий уровень">
      <formula>NOT(ISERROR(SEARCH("Низкий уровень",D9)))</formula>
    </cfRule>
    <cfRule type="containsText" dxfId="10" priority="3" operator="containsText" text="Ниже среднего">
      <formula>NOT(ISERROR(SEARCH("Ниже среднего",D9)))</formula>
    </cfRule>
    <cfRule type="containsText" dxfId="9" priority="4" operator="containsText" text="Средний уровень">
      <formula>NOT(ISERROR(SEARCH("Средний уровень",D9)))</formula>
    </cfRule>
    <cfRule type="containsText" dxfId="8" priority="5" operator="containsText" text="Выше среднего">
      <formula>NOT(ISERROR(SEARCH("Выше среднего",D9)))</formula>
    </cfRule>
    <cfRule type="containsText" dxfId="7" priority="6" operator="containsText" text="Высокий уровень">
      <formula>NOT(ISERROR(SEARCH("Высокий уровень",D9)))</formula>
    </cfRule>
  </conditionalFormatting>
  <conditionalFormatting sqref="G44:I44">
    <cfRule type="containsText" dxfId="6" priority="7" operator="containsText" text="Высокий уровень">
      <formula>NOT(ISERROR(SEARCH("Высокий уровень",G71)))</formula>
    </cfRule>
    <cfRule type="containsText" dxfId="5" priority="8" operator="containsText" text="Выше среднего">
      <formula>NOT(ISERROR(SEARCH("Выше среднего",G71)))</formula>
    </cfRule>
    <cfRule type="containsText" dxfId="4" priority="9" operator="containsText" text="Средний уровень">
      <formula>NOT(ISERROR(SEARCH("Средний уровень",G71)))</formula>
    </cfRule>
    <cfRule type="containsText" dxfId="3" priority="10" operator="containsText" text="Ниже среднего">
      <formula>NOT(ISERROR(SEARCH("Ниже среднего",G71)))</formula>
    </cfRule>
    <cfRule type="containsText" dxfId="2" priority="11" operator="containsText" text="Низкий уровень">
      <formula>NOT(ISERROR(SEARCH("Низкий уровень",G71)))</formula>
    </cfRule>
    <cfRule type="containsText" dxfId="1" priority="12" operator="containsText" text="Невозможно измерить">
      <formula>NOT(ISERROR(SEARCH("Невозможно измерить",G71)))</formula>
    </cfRule>
    <cfRule type="containsText" dxfId="0" priority="13" operator="containsText" text="Нет заначения">
      <formula>NOT(ISERROR(SEARCH("Нет заначения",G71)))</formula>
    </cfRule>
  </conditionalFormatting>
  <pageMargins left="0.70078740157480324" right="0.70078740157480324" top="0.75196850393700787" bottom="0.75196850393700787" header="0.3" footer="0.3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#REF!</xm:f>
          </x14:formula1>
          <xm:sqref>E9:E25 E27:E33 G44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АТТЕСТАЦИОННЫЙ ЛИСТ</vt:lpstr>
      <vt:lpstr>ПРОФ СУЖДЕНИЕ О КАЧЕСТВЕ ИС</vt:lpstr>
      <vt:lpstr>'ПРОФ СУЖДЕНИЕ О КАЧЕСТВЕ ИС'!Область_печати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Dzuganov Islam</dc:creator>
  <cp:lastModifiedBy>Dzuganov Islam</cp:lastModifiedBy>
  <cp:revision>66</cp:revision>
  <dcterms:created xsi:type="dcterms:W3CDTF">2026-05-20T09:06:24Z</dcterms:created>
  <dcterms:modified xsi:type="dcterms:W3CDTF">2026-05-20T09:06:24Z</dcterms:modified>
</cp:coreProperties>
</file>