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worksheets/sheet2.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9.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4.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25.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sheets/sheet20.xml" ContentType="application/vnd.openxmlformats-officedocument.spreadsheetml.worksheet+xml"/>
  <Override PartName="/xl/worksheets/sheet22.xml" ContentType="application/vnd.openxmlformats-officedocument.spreadsheetml.worksheet+xml"/>
  <Override PartName="/xl/worksheets/sheet17.xml" ContentType="application/vnd.openxmlformats-officedocument.spreadsheetml.worksheet+xml"/>
  <Override PartName="/xl/worksheets/sheet15.xml" ContentType="application/vnd.openxmlformats-officedocument.spreadsheetml.worksheet+xml"/>
  <Override PartName="/xl/worksheets/sheet23.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18.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6.xml" ContentType="application/vnd.openxmlformats-officedocument.spreadsheetml.worksheet+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Уровень качества" sheetId="1" state="visible" r:id="rId1"/>
    <sheet name="Проблематика ИТ-Процессов" sheetId="2" state="visible" r:id="rId2"/>
    <sheet name="Функциональная  пригодность ИС" sheetId="3" state="visible" r:id="rId3"/>
    <sheet name="Совместимость ИС" sheetId="4" state="visible" r:id="rId4"/>
    <sheet name=" Коррекция ошибок ИС" sheetId="5" state="visible" r:id="rId5"/>
    <sheet name="Ср. время восстановления ИС" sheetId="6" state="visible" r:id="rId6"/>
    <sheet name="Доступность ИС" sheetId="7" state="visible" r:id="rId7"/>
    <sheet name="Полнота резервных копий" sheetId="8" state="visible" r:id="rId8"/>
    <sheet name="Модифицируемость" sheetId="9" state="visible" r:id="rId9"/>
    <sheet name="Разделение компонентов для МС" sheetId="10" state="visible" r:id="rId10"/>
    <sheet name="Корректность срочных релизов" sheetId="11" state="visible" r:id="rId11"/>
    <sheet name="Корректность  плановых релизов" sheetId="12" state="visible" r:id="rId12"/>
    <sheet name="Мониторинг бизнес-метрик" sheetId="13" state="visible" r:id="rId13"/>
    <sheet name="Мониторинг серверов" sheetId="14" state="visible" r:id="rId14"/>
    <sheet name="Автоматизация Регресс модели" sheetId="15" state="visible" r:id="rId15"/>
    <sheet name="Автономность тестирования" sheetId="16" state="visible" r:id="rId16"/>
    <sheet name="Полнота видов тестирования" sheetId="17" state="visible" r:id="rId17"/>
    <sheet name="Идентичность сред" sheetId="18" state="visible" r:id="rId18"/>
    <sheet name="Состав тест и препрод окружений" sheetId="19" state="visible" r:id="rId19"/>
    <sheet name="Время установки Релиза" sheetId="20" state="visible" r:id="rId20"/>
    <sheet name="Средняя пропускная способность" sheetId="21" state="visible" r:id="rId21"/>
    <sheet name="Корректность время отклика" sheetId="22" state="visible" r:id="rId22"/>
    <sheet name="Корректность механизма аутентиф" sheetId="23" state="visible" r:id="rId23"/>
    <sheet name="Соответствие правил аутентифика" sheetId="24" state="visible" r:id="rId24"/>
    <sheet name="Реализация Ролевой Модели" sheetId="25" state="visible" r:id="rId25"/>
    <sheet name="Описание Рук-ва Пользователя" sheetId="26" state="visible" r:id="rId26"/>
  </sheets>
  <definedNames>
    <definedName name="_xlnm.Print_Area" localSheetId="0" hidden="0">'Уровень качества'!$A$1:$F$60</definedName>
  </definedNames>
  <calcPr/>
</workbook>
</file>

<file path=xl/sharedStrings.xml><?xml version="1.0" encoding="utf-8"?>
<sst xmlns="http://schemas.openxmlformats.org/spreadsheetml/2006/main" count="962" uniqueCount="962">
  <si>
    <t xml:space="preserve">Управленческая отчетность, выполненная в 1м квартале 2026</t>
  </si>
  <si>
    <t xml:space="preserve">по оценкам качества ИС</t>
  </si>
  <si>
    <t xml:space="preserve">период оценки ИС (срез качества ИС) -  за   4  квартал 2025</t>
  </si>
  <si>
    <t>https://alm.headoffice.psbank.local/sd/operator/#uuid:GMtask$127484293</t>
  </si>
  <si>
    <t xml:space="preserve">БЛОК1 - ОПЫТНАЯ ЭКСПЛУАТАЦИЯ</t>
  </si>
  <si>
    <t>N</t>
  </si>
  <si>
    <t xml:space="preserve">Наименование ИС</t>
  </si>
  <si>
    <t xml:space="preserve">Показатель качества</t>
  </si>
  <si>
    <t xml:space="preserve">Уровень качества</t>
  </si>
  <si>
    <t xml:space="preserve">ЖЦ ИС согласно каталога ИТ-Систем</t>
  </si>
  <si>
    <t xml:space="preserve">Класс критичности согласно Каталога ИТ-Систем</t>
  </si>
  <si>
    <t xml:space="preserve">ФИО Менеджера по качеству</t>
  </si>
  <si>
    <t xml:space="preserve">Программно-аппаратный комплекс "Единое Хранилище Данных"</t>
  </si>
  <si>
    <t xml:space="preserve">Ниже среднего</t>
  </si>
  <si>
    <t>ОЭ</t>
  </si>
  <si>
    <t xml:space="preserve">НЕ ОПРЕДЕЛЯЕТСЯ</t>
  </si>
  <si>
    <t xml:space="preserve">Никитина Анастасия Александровна</t>
  </si>
  <si>
    <t xml:space="preserve">Информационная система "Аналитическая система Loginom"</t>
  </si>
  <si>
    <t xml:space="preserve">Семенова Галина</t>
  </si>
  <si>
    <t xml:space="preserve">Информационная система "Единый сервис регистрации, идентификации, аутентификации и авторизации клиентов банка (ПСБ ID)</t>
  </si>
  <si>
    <t xml:space="preserve">Информационная система Systematica Radius (2-я инсталяция)</t>
  </si>
  <si>
    <t xml:space="preserve">Прохоренко Мария</t>
  </si>
  <si>
    <t xml:space="preserve">Информационная система "Единый блок Профессиональных суждений"</t>
  </si>
  <si>
    <t xml:space="preserve">Открытие и закрытие счетов ЮЛ</t>
  </si>
  <si>
    <t xml:space="preserve">Средний уровень</t>
  </si>
  <si>
    <t xml:space="preserve">Щавлев Александр</t>
  </si>
  <si>
    <t xml:space="preserve">Информационная система "CRM ОПК"</t>
  </si>
  <si>
    <t xml:space="preserve">Выше среднего</t>
  </si>
  <si>
    <t xml:space="preserve">Воробьева Внастасия Владимировна</t>
  </si>
  <si>
    <t xml:space="preserve">Программно-аппаратный комплекс "Целевая CRM СМБ"</t>
  </si>
  <si>
    <t xml:space="preserve">Высокий уровень</t>
  </si>
  <si>
    <t xml:space="preserve">Кантор Анна Александровна</t>
  </si>
  <si>
    <t xml:space="preserve">ИНФОРМАЦИОННАЯ СИСТЕМА «Шлюз для доступа к Росреестру»</t>
  </si>
  <si>
    <t xml:space="preserve">Создание и тестирование</t>
  </si>
  <si>
    <t xml:space="preserve">Алешевская Оксана Юрьевна</t>
  </si>
  <si>
    <t>ИТОГО</t>
  </si>
  <si>
    <t xml:space="preserve">НЕДОСТАТКИ  ИНФОРМАЦИОННЫХ СИСТЕМ  В ОЭ</t>
  </si>
  <si>
    <t xml:space="preserve">Характеристика качества ИС</t>
  </si>
  <si>
    <t xml:space="preserve">Показатель качества ИС</t>
  </si>
  <si>
    <t xml:space="preserve">Недостаток качества ИС</t>
  </si>
  <si>
    <t xml:space="preserve">Функциональная пригодность ИС</t>
  </si>
  <si>
    <t xml:space="preserve">Процесс Трассировки Требований в Банке отсутствует, нет возможно получить аналитическую информацию какие Функциональные Требования были релизованы. Работы выполняются на некоторых ИС по инициативе сотрудников.</t>
  </si>
  <si>
    <t>Совместимость</t>
  </si>
  <si>
    <t xml:space="preserve">На ОЭ реализовывается только половина требуемых интеграций с другими ИС Банка. ИС выходят в ОЭ без реализации всех необходимых интеграций</t>
  </si>
  <si>
    <t xml:space="preserve">Надежность ИС</t>
  </si>
  <si>
    <t xml:space="preserve">Уровень выше среднего</t>
  </si>
  <si>
    <t xml:space="preserve">На этапе ОЭ к ИС не предъявляют Требований к регистрации ТС, поэтому в более половине случаев невозможно измерить Доступность ИС и ее Среднее Время восстановления. После вывода ИС в ПЭ имеются риски понижения показателя Надежности ИС из-за более жестких требований к регистрации ТС</t>
  </si>
  <si>
    <t xml:space="preserve">Пригодность для обслуживания</t>
  </si>
  <si>
    <t xml:space="preserve">Отсутствуют Требования к постановке на мониторинг бизнес-метрик, не применяются Требования к Релизному циклу</t>
  </si>
  <si>
    <t xml:space="preserve">Тестируемость ИС</t>
  </si>
  <si>
    <t xml:space="preserve">Низкий уровень автоматизации регрессионной модели из-за недостатка ресурстов Автотестировщиков, Автономность Тестирования не применяется, не все необходимые Виды Тестирования выполняются</t>
  </si>
  <si>
    <t>Переносимость</t>
  </si>
  <si>
    <t xml:space="preserve">Не фиксируют сроки работ по установке Релизов, т.к. Требований о организации Релизного Цикла на этпае ОЭ не применяются</t>
  </si>
  <si>
    <t>Эффективность</t>
  </si>
  <si>
    <t xml:space="preserve">в  ТЗ не фиксируются требования к  Пропускной Способности ИС и Времен Отклика , что делает невозможным реализацию эффективных ИС</t>
  </si>
  <si>
    <t>Безопасность</t>
  </si>
  <si>
    <t xml:space="preserve">Не всегда фиксируются Артефакты проверки Требований к Бкзопасности ИС (аутентификации ИС и Ролевой Модели), что затрудняет подтверждение факта реализации Безопасности ИС</t>
  </si>
  <si>
    <t xml:space="preserve">Удобство использования (в части Руководства Пользователя)</t>
  </si>
  <si>
    <t xml:space="preserve">Низкий уровень</t>
  </si>
  <si>
    <t xml:space="preserve">Руководства  Пользователя  требуют актуализации</t>
  </si>
  <si>
    <t xml:space="preserve">БЛОК2 - ПРОМЫШЛЕННАЯ ЭКСПЛУАТАЦИЯ</t>
  </si>
  <si>
    <t xml:space="preserve">Программное обеспечение АРМ "Финансового мониторинга"</t>
  </si>
  <si>
    <t>ПЭ</t>
  </si>
  <si>
    <t xml:space="preserve">BUSINESS CRITICAL</t>
  </si>
  <si>
    <t xml:space="preserve">Коротаева Татьяна</t>
  </si>
  <si>
    <t xml:space="preserve">Программно-аппаратный комплекс "EDSmart"</t>
  </si>
  <si>
    <t xml:space="preserve">MISSION CRITICAL</t>
  </si>
  <si>
    <t xml:space="preserve">Гравити Апи Менеджмент Рус</t>
  </si>
  <si>
    <t xml:space="preserve">Суворова Анна</t>
  </si>
  <si>
    <t xml:space="preserve">Программно-аппаратный комплекс Автоматизированное Рабочее Место "Биометрическая регистрация"</t>
  </si>
  <si>
    <t xml:space="preserve">BUSINESS OPERATIONAL</t>
  </si>
  <si>
    <t xml:space="preserve">Меников Роман</t>
  </si>
  <si>
    <t xml:space="preserve">Программно-аппаратный комплекс "ЭТП-Коннект" (Tender API)</t>
  </si>
  <si>
    <t xml:space="preserve">Вотяков Андрей</t>
  </si>
  <si>
    <t xml:space="preserve">Информационная система «Специализированная платформа электронного взаимодействия»</t>
  </si>
  <si>
    <t xml:space="preserve">Фациевич Дмитрий</t>
  </si>
  <si>
    <t xml:space="preserve">Система автоматизации закупок</t>
  </si>
  <si>
    <t xml:space="preserve">Автоматизированная система для формирования и учета счетов-фактур и электронного документооборота по электронным счетам-фактурам и УПД с контрагентами (АС «Счета-фактуры») на базе 1С:Предприятие 8</t>
  </si>
  <si>
    <t xml:space="preserve">Масленников Иван</t>
  </si>
  <si>
    <t xml:space="preserve">Программно-аппаратный комплекс PSB-Факторинг</t>
  </si>
  <si>
    <t xml:space="preserve">ИНФОРМАЦИОННАЯ СИСТЕМА "Личный кабинет инвестора "ПСБ. Инвестиции""</t>
  </si>
  <si>
    <t xml:space="preserve">Горохова Анастасия</t>
  </si>
  <si>
    <t xml:space="preserve">Программно-апаратная система ITA:Forms Сервисные центры</t>
  </si>
  <si>
    <t xml:space="preserve">Шкляева Екатерина</t>
  </si>
  <si>
    <t xml:space="preserve">Программно-аппаратный комплекс "Информационная система расчета НДФЛ"</t>
  </si>
  <si>
    <t xml:space="preserve">Информационная система "Система Быстрых Платежей"</t>
  </si>
  <si>
    <t xml:space="preserve">ИНФОРМАЦИОННАЯ СИСТЕМА "ТП "Микросервисная платформа РБ (ЗОКИИ)", "ПСБ РБС (ЗОКИИ)"</t>
  </si>
  <si>
    <t xml:space="preserve">Разживина Надежда</t>
  </si>
  <si>
    <t xml:space="preserve">Программно-аппаратная система PSB-Retail и Ib.psbank</t>
  </si>
  <si>
    <t xml:space="preserve">Бориско Ольга</t>
  </si>
  <si>
    <t xml:space="preserve">Программно-аппаратный комплекс "RS-Connect с модулем интеграции с Государственной информационной системой жилищно-коммунального хозяйства (ГИС ЖКХ)"</t>
  </si>
  <si>
    <t xml:space="preserve">Программно-аппаратный комплекс ИСВИ (Credit Registry)</t>
  </si>
  <si>
    <t xml:space="preserve">ИС "АС "Электронные банковские гарантии"</t>
  </si>
  <si>
    <t xml:space="preserve">Программно-аппаратный комплекс "Система мониторинга Гособоронзаказа"</t>
  </si>
  <si>
    <t xml:space="preserve">Информационная система "Единая система хранения документов"</t>
  </si>
  <si>
    <t xml:space="preserve">Сердюк Юлия</t>
  </si>
  <si>
    <t xml:space="preserve">Информационная система "ПСБ БИЗНЕС"</t>
  </si>
  <si>
    <t xml:space="preserve">Колесников Олег</t>
  </si>
  <si>
    <t xml:space="preserve">Информационная система "Сайт банка (корпоративная платформа)"</t>
  </si>
  <si>
    <t xml:space="preserve">Бокарева Алена</t>
  </si>
  <si>
    <t xml:space="preserve">Информационная система "Кредитный конвейер ОПК"</t>
  </si>
  <si>
    <t xml:space="preserve">Воробьева Анастасия</t>
  </si>
  <si>
    <t xml:space="preserve">ИНФОРМАЦИОННАЯ СИСТЕМА Программно-аппаратный комплекс "Система отправки сообщений iSimpleMessageGate" *</t>
  </si>
  <si>
    <t xml:space="preserve">Кантор Анна</t>
  </si>
  <si>
    <t xml:space="preserve">Информационная система "Операционный CRM РБ"</t>
  </si>
  <si>
    <t xml:space="preserve">Недостатки Информационных Систем  в  ПЭ</t>
  </si>
  <si>
    <t xml:space="preserve">Характеристика качества</t>
  </si>
  <si>
    <t xml:space="preserve">Недостаток качества</t>
  </si>
  <si>
    <t xml:space="preserve">На системых отсутствует инстумент учета и контроля реалиазции Функциональных Требований.</t>
  </si>
  <si>
    <t xml:space="preserve">Часто нет возможности найти и проверить результаты тестирования интеграций ИС</t>
  </si>
  <si>
    <t xml:space="preserve">Не все ошибки, выявленные в процессе тестирования исправляются оперативно, время восстановления ИС ниже RTO</t>
  </si>
  <si>
    <t xml:space="preserve">Не соблюдается Плановый срок установки Релизов. Процесс постановки на Мониторинг бизнес-метрик не фиксируется, Процесс постановке на Мониторинг серверов сложно измеряем.</t>
  </si>
  <si>
    <t xml:space="preserve">Регрессионная модель имеет низкий уровень автоматизации, не все необходимые виды тестирования выполняются, идентичность тестовых сред определить невозможно - нет человеческих ресурсов</t>
  </si>
  <si>
    <t xml:space="preserve">Сроки установки Релиза соблюдаются в большинстве случаев</t>
  </si>
  <si>
    <t xml:space="preserve">в ТЗ не фиксируются требования к пропускной способности ИС и времени отклика, отсутствует инструмент замера показателей на ИС</t>
  </si>
  <si>
    <t xml:space="preserve">Уровень ниже среднего</t>
  </si>
  <si>
    <t xml:space="preserve">Тестирование Требований к Безопасности сложно идентифицируется после проведения тестирования. Перепроверка Требований невозможна, ввиду отсутствия человеческих ресурсов</t>
  </si>
  <si>
    <t xml:space="preserve">Отсутствует процесс получения обратной связи от пользователей. В некоторых случаях, когда удается получить обратную свять со стороны бизнес-заказчика, то она отрицательня. Руководства Пользователей требуют актуализации</t>
  </si>
  <si>
    <t xml:space="preserve">* Справочно. Показатель качества -   </t>
  </si>
  <si>
    <t xml:space="preserve">81-100  % – Высокий  уровень</t>
  </si>
  <si>
    <t xml:space="preserve">61-80 % –  Уровень выше среднего</t>
  </si>
  <si>
    <t xml:space="preserve">41-60% –  Средний уровень</t>
  </si>
  <si>
    <t xml:space="preserve">21-40% -  Уровень ниже среднего</t>
  </si>
  <si>
    <t xml:space="preserve">0-20% -   Низкий уровень</t>
  </si>
  <si>
    <t xml:space="preserve">0 -           Невозможно измерить</t>
  </si>
  <si>
    <t xml:space="preserve">Н -неприменимо</t>
  </si>
  <si>
    <t xml:space="preserve">Характеристика Качества </t>
  </si>
  <si>
    <t>Подхарактеристика</t>
  </si>
  <si>
    <t>ВНД</t>
  </si>
  <si>
    <t>Проблематика</t>
  </si>
  <si>
    <t xml:space="preserve">Последствия </t>
  </si>
  <si>
    <t xml:space="preserve">Функциональная пригодность</t>
  </si>
  <si>
    <t xml:space="preserve">Функциональное покрытие</t>
  </si>
  <si>
    <t xml:space="preserve">Регламент процесса "Управление изменениями"</t>
  </si>
  <si>
    <t xml:space="preserve">Отсутствует стандартизированный  инструмент  учета и контроля реализации всех заявленных Функциональных Требований (напрмер, Трассировка Требований)</t>
  </si>
  <si>
    <t xml:space="preserve">Технический сбой, приводящий к нарушению непрерывности оказания банковских услуг в рамках технологических процессов</t>
  </si>
  <si>
    <t xml:space="preserve">Регламент процесса "Управление тестированием"</t>
  </si>
  <si>
    <t>Тестируемость</t>
  </si>
  <si>
    <t xml:space="preserve">Автоматизация Регрессионной Модели</t>
  </si>
  <si>
    <t xml:space="preserve">Управление ресурсами</t>
  </si>
  <si>
    <t xml:space="preserve">Недостаточно ресураса автотестировщиков для автоматизации тест-кейсов регрессионной модели</t>
  </si>
  <si>
    <t xml:space="preserve">Отсутствует стандартизированный процесс передачи Тест-Кейсов на автоматизацию</t>
  </si>
  <si>
    <t xml:space="preserve">Отсутствуют стандартизированные  требования к формированию Тест-кейсов, для последющей передачи на автоматизацию</t>
  </si>
  <si>
    <t xml:space="preserve">Мониторинг Бизнес-Метрик</t>
  </si>
  <si>
    <t xml:space="preserve">Отсутствует процесс определения критичных бизнес-процессов для ИС, которые требуется поставить на мониториг </t>
  </si>
  <si>
    <t xml:space="preserve">Распоряжение 77-НШ "Об установлении требований к организации Мониторинга"</t>
  </si>
  <si>
    <t xml:space="preserve">Отсутствует процесс передачи Бизнес-Метрик для постановки их на мониториг</t>
  </si>
  <si>
    <t xml:space="preserve">Не соблюдается  Распоряжение в части фиксирования Задач в СУЗ на постановку на Мониторинг</t>
  </si>
  <si>
    <t xml:space="preserve">Эффективность. Показатели временных Характеристик</t>
  </si>
  <si>
    <t xml:space="preserve">Средняя пропускная способность</t>
  </si>
  <si>
    <t xml:space="preserve">1. Отсутствует инструмент контроля  заполнения всех полей Технического задания, в т.ч. в части формирования Нефункциональных требований к информационной системе.                                                 2. Отсутствует стандартизированный инструмент  замера текущей пропускной способности ИС, в т.ч. организация мониторинга пропускной способности </t>
  </si>
  <si>
    <t xml:space="preserve">Корректность времени отклика</t>
  </si>
  <si>
    <t xml:space="preserve">1. Отсутствует инструмент контроля  заполнения всех полей Технического задания, в т.ч. в части формирования Нефункциональных требований к информационной системе.                                                         2. Отсутствует стандартизированный инструмент  замера текущей пропускной способности ИС, в т.ч. организация мониторинга пропускной способности </t>
  </si>
  <si>
    <t xml:space="preserve">1 Опытная Эксплуатация </t>
  </si>
  <si>
    <t>Характеристика</t>
  </si>
  <si>
    <t xml:space="preserve">Информационная система</t>
  </si>
  <si>
    <t xml:space="preserve">Комментарий к показателю качества </t>
  </si>
  <si>
    <t xml:space="preserve">Жизненный цикл ИС</t>
  </si>
  <si>
    <t xml:space="preserve">Класс Критичности</t>
  </si>
  <si>
    <t xml:space="preserve">Результаты тестирования подтверждают реализацию 100 %  Функциональных Требований описанных в Техническом задании.</t>
  </si>
  <si>
    <t xml:space="preserve">Результаты тестирования подтверждают реализацию 94,5%  Функциональных Требований, описанных в Техническом задании.
Выявлены Функциональные Требования (5,5%), не покрытые тест-кейсами: 
CS.F.6.1 Просмотр реестра учетных карточек со ссылками на файлы на отдельной вкладке карточки Клиента "Электронное досье" 
CS.F.6.2 Скачивание файлов "Электронного досье" по ссылкам
IS.F.1.2 Обновление данных по Клиенту из СИАМ 2.0 при формировании документации Клиента для открытия счета (из ЕГРЮЛ/ЕГРИП, Росстат) 
IS.F.12 Экспорт данных об акцепте/отбраковке заявки на резервирование счета ГОЗ в АБС Новая Афина (НА)
IS.F.13 Межсервисное взаимодействие
TS.F.1.10 Автоматическое определение и назначение исполнителей для задания вида "Продажа транзакционного продукта"</t>
  </si>
  <si>
    <t xml:space="preserve">Невозможно измерить</t>
  </si>
  <si>
    <t xml:space="preserve">Невозможно измерить Подхарактеристику Качества. Не предоставлена  Трассировка Требований на основании Технического Задания  ввиду отсутствия   профильного ресурса.</t>
  </si>
  <si>
    <t xml:space="preserve">Невозможно измерить Подхарактеристику Качества ввиду не предоставления Трассировки Требований профильным ресурсом по причине отсутствия трассировки.</t>
  </si>
  <si>
    <t xml:space="preserve">Невозможно измерить Подхарактеристику Качества. Не предоставлена Трассировка Требований на основании Технического Задания ввиду отсутствия ресурса Исполнителя (Тест-Аналитика)</t>
  </si>
  <si>
    <t xml:space="preserve">На проект 100799 ресурс ТА не закладывался https://jira.psbnk.msk.ru/browse/SPPI-16255. На ИС отсутствует выделенный ресурс тест-аналитика
По информации от команды тестирования матрица функционального покрытия отсутствует.</t>
  </si>
  <si>
    <t xml:space="preserve">Уровень фукнциональной пригодности составляет 91%, что соответствует высокому уровню.</t>
  </si>
  <si>
    <t xml:space="preserve">Результаты тестирования подтверждают реализацию 100% Функциональных Требований, описанных в Техническом задании.</t>
  </si>
  <si>
    <t xml:space="preserve">Создание и тестировани</t>
  </si>
  <si>
    <t xml:space="preserve">На проект 100565 заложен ресурс ТА нhttps://jira.psbnk.msk.ru/browse/SPPI-10436. 
На ИС отсутствует выделенный ресурс тест-аналитика
По информации от команды тестирования матрица функционального покрытия отсутствует.</t>
  </si>
  <si>
    <t xml:space="preserve">ИТОГОВЫЙ ПОКАЗАТЕЛЬ ПО ХАРАКТЕРИСТИКЕ (ОЭ)</t>
  </si>
  <si>
    <t xml:space="preserve">Функциональная пригодность </t>
  </si>
  <si>
    <t xml:space="preserve">2. Промышленная эксплуатация</t>
  </si>
  <si>
    <t xml:space="preserve">"ТП "Микросервисная платформа РБ (ЗОКИИ)", "ПСБ РБС (ЗОКИИ)"</t>
  </si>
  <si>
    <t xml:space="preserve">Несозможно измерить</t>
  </si>
  <si>
    <t xml:space="preserve">Невозможно измерить Подхарактеристику Качества ввиду не предоставления Трассировки Требований  профильным ресурсом по причине ее отсутствия.</t>
  </si>
  <si>
    <t xml:space="preserve">Невозможно измерить Подхарактеристику Качества по причине того, что матрица покрытия находится в работе.</t>
  </si>
  <si>
    <t xml:space="preserve">Результаты тестирования подтверждают реализацию 13% Функциональных Требований описанных в Техническом задании. Низкий уровень связан с оптимизацией ставки ТА на проекте и отсутствие ресурсов профильной функции для проведения анализа реализации описанных Требований к ИС.</t>
  </si>
  <si>
    <t xml:space="preserve">Не возможно измерить Подхарактеристику качества ввиду отсутствия ТЗ</t>
  </si>
  <si>
    <t xml:space="preserve">Не возможно измерить Подхарактеристику Качества. Не предоставлена  Трассировка Требований на основании Технического Задания  ввиду отсутствия   профильного ресурса.</t>
  </si>
  <si>
    <t xml:space="preserve">Результаты тестирования подтверждают реализацию 88%  Функциональных Требований, описанных в Техническом задании.
Выявлены Функциональные Требования (10%), не покрытые тест-кейсами: 
CS.F.1.8 Обновление данных карточки Холдинга
CS.F.1.7 Автоматизированное создание карточки Холдинга
IS.F.3.1 Синхронизация всех Клиентов между ЕО и НА: создание новых Клиентов, обновление данных по существующим Клиентам
IS.F.3.2 Возможность обновления структуры Холдинга из НА по расписанию
IS.F.3.4 Загрузка и обновление филиалов и структурных подразделений Клиентов из НА по расписанию
IS.F.5.1 Импорт Клиентских менеджеров из 1С:ЗУП по расписанию
IS.F.5.2 Импорт справочника Подразделений сотрудников с 1С:ЗУП по расписанию
IS.F.5.3 Импорт справочника Должностей сотрудников с 1С:ЗУП по расписанию
IS.F.6 Импорт данных из системы Учет и мониторинг кредитных лимитов для получения лимитов по Холдингу/Клиенту по кнопке на карточке Клиента/Холдинга
IS.F.8 Импорт данных пользователя из MS AD</t>
  </si>
  <si>
    <t xml:space="preserve">Не возможно измерить Подхарактеристику Качества ввиду непредоставления Трассировки Требований и Технического Задания  профильным ресурсом по причине Соглашения о нера</t>
  </si>
  <si>
    <t xml:space="preserve">Результаты тестирования подтверждают реализацию 100%  Функциональных Требований описанных в Техническом задании (ЧТЗ)»
Выявлены Результаты Тестирования  не имеющие описания в Техническом Задании - 1 требование, что означает выявленые, незаявленные, но подразумеваемые требования, которые требуется описать в Техническом Задании.</t>
  </si>
  <si>
    <t xml:space="preserve">Не 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профильного ресурса»</t>
  </si>
  <si>
    <t xml:space="preserve">Не возможно измерить Подхарактеристику Качества. Не предоставлена  Трассировка Требований на основании Технического Задания  ввиду отсутствия ресурса Исполнителя (Тест-Аналитика).</t>
  </si>
  <si>
    <t xml:space="preserve">Информационная система "Автоматизированная система управления Банкомат"</t>
  </si>
  <si>
    <t xml:space="preserve">Не предоставлена  Трассировка Требований на основании Технического Задания  ввиду отсутствия ресурса Исполнителя (Тест-Аналитика).
Единое ТЗ на всю ИС отсутствует.  На данный момент на доработки ведутся отдельные ТЗ в задачах. 
Вместо ТЗ в ритейле есть "База знаний" https://kms.headoffice.psbank.local/content/space/2374/wiki/657541 , где собрана вся информация на текущий момент.
Аналогичная "База знаний" есть по микросервисам ритейла https://kms.headoffice.psbank.local/content/space/2374/wiki/672966. 
НО два данных раздела (монолит и мс) имеют одинаковые разделы, исходя из этого невозможно однозначно понять где именно сейчас работает функционал (монолит/мс / функционал реализован на мс, но пока закрыт тогглом и работает через монолит)</t>
  </si>
  <si>
    <t xml:space="preserve">Невозможно измерить Подхарактеристику Качества ввиду не предоставления Трассировки Требований и Технического Задания  профильным ресурсом по причине высокой нагрузки и больничного.</t>
  </si>
  <si>
    <t xml:space="preserve">Невозможно измерить Подхарактеристику Качества. Не предоставлена Трассировка Требований на основании Технического Задания  ввиду отсутствия профильного ресурса тест-аналитика.</t>
  </si>
  <si>
    <t xml:space="preserve">Невозможно измерить Подхарактеристику Качества ввиду отсутствия ресурса тест-аналитика. </t>
  </si>
  <si>
    <t xml:space="preserve">Невозможно измерить Подхарактеристику Качества. Не предоставлена Трассировка Требований на основании Технического Задания  ввиду отсутствия профильного ресурса тест-аналитика</t>
  </si>
  <si>
    <t xml:space="preserve">Невозможно измерить Подхарактеристику Качества ввиду отсутствия ресурса Тест-Аналитика 
Трассировка требований не ведется.</t>
  </si>
  <si>
    <t xml:space="preserve">Невозможно измерить подхарактеристику качества ввиду отсутствия трассировки требований. Нет актуальной информации по покрытию требований тестовыми сценариами. </t>
  </si>
  <si>
    <t xml:space="preserve">ИТОГОВЫЙ ПОКАЗАТЕЛЬ ПО ХАРАКТЕРИСТИКЕ</t>
  </si>
  <si>
    <t xml:space="preserve">Низккий уровень</t>
  </si>
  <si>
    <t xml:space="preserve">Контроль релиазации Функциональных Требований  не ведется. Получить информацию о том, что какие ФТ требования были реализованы в течении ПЭ не представляется возможным)</t>
  </si>
  <si>
    <t>№</t>
  </si>
  <si>
    <t xml:space="preserve">Совместимость (интеграция с другими ИС в контуре Банка)</t>
  </si>
  <si>
    <t xml:space="preserve">Совместимость ИС составляет - 92%
Выполнены и проверены следующие интеграции. 
1.ЕПХД
2.Web-клиент  OCRM СМБ (браузер)
3.DaData
4.SMTP-relay
5.ЛКК
6.Сиам 2.0
7.GreenData
8.Новая Афина
9.WAY 4
10.Рекомендательная система СМБ
11.Factor ESB
12.ETL (Форм ИТ)
13..Контакт-центр Naumen 
Необходимо выполнить и проверить следующие интеграции:
1. 1C-ЗУП
Интеграция в процесе реализации.</t>
  </si>
  <si>
    <t xml:space="preserve">Совместимость ИС составляет - 100% от требуемого. Выполнены и проверены следующие интеграции:
1. СИАМ 2.0
2. АБС НА
3. SAP HR
4. Учет и мониторинг кредитных лимитов
5. КК
6. MS AD
7. Сайт Банка и ДБО
8. ЕПХД
9. ПСБ Персонал</t>
  </si>
  <si>
    <t xml:space="preserve">Невозможно измерить Подхарактеристику качества. Не предоставлены результаты интеграционного тестирования, подтверждающие факт реализации интеграций ИС в контур Банка,  ввиду отсутствия профильного ресурса.</t>
  </si>
  <si>
    <t xml:space="preserve">Совместимость ИС составляет - 22 %  от требуемого.  Выполнены и проверены следующие интеграции:
FORTS, Новая Афина, Diasoft, PSB Retail, QUIK.
Необходимо выполнить и проверить следующие интеграции:
 FX Агрегатор
 НРД
 КИТ Финанс Брокер Quik клиент
 RUDATA
 www.cbr.ru
 Сервер Cbond
 Сервер Росстат
 MOEX API
 MOEX SPFI
 Сайты НФА
FTP
FormIT
FactorESB
КИХ
ЛКИ
SMTP
ЕХД</t>
  </si>
  <si>
    <t xml:space="preserve">Совместимость ИС составляет - 86% от требуемого. Выполнены и проверены следующие интеграции:
1IDM 
MDM
СИАМ 2.0
Новая Афина
1С ЗУП через API
Необходимо выполнить и проверить следующие интеграции:
ДБО КБ
ЕПХД</t>
  </si>
  <si>
    <t xml:space="preserve">На проект 100799 ресурс ТА не закладывался https://jira.psbnk.msk.ru/browse/SPPI-16255. На ИС отсутствует выделенный ресурс тест-аналитика. Данные предоставлены тестировщиком. 
Уровень совместимости ИС составляет 0%, что соответствует низкому уровню. 
В рассматриваемый период ИТ не проводилось.
Перечень систем в Общем описании, ТЗ, КД и на схеме различаются.
В КД заявлены следующие интеграции:
1.ЕХД
2.Кредитный конвейер КБ
3.ЭБГ - Электронные банковские гарантии
4.Кредитный конвейер СМБ / GreenData.Risk ЛО - Лимит Открыт
5.Кредитный конвейер СМБ / GreenData.Risk ББКП - Без бумаг контрактный предобобренный
6.Кредитный конвейер СМБ / GreenData.Risk СКП - Стандартный кредитный продукт
7.БД Новая Афина
8.СИАМ 2.0
9.Лимит-сервер
10.Система Учета Залогов (СУЗ) GreenData
11.КИХ ФД</t>
  </si>
  <si>
    <t xml:space="preserve">Совместимость ИС составляет 50% от требуемого.
Необходимо выполнить и проверить следующие интеграции:
1. iSimpleMessageGate
2. ДБО
3. Retail RBS 
https://tsit-app1/projects/1280345/test-plans/3643657/results
4. Токеон
 https://tsit-app1/projects/1280345/test-plans/3818061/report
Список интеграций окончательно не определен и постоянно меняется в зависимости от запроса Бизнес-заказчика.</t>
  </si>
  <si>
    <t xml:space="preserve">Совместимость ИС составляет - 67% от требуемого. Выполнены и проверены следующие интеграции:
1. Росреестр
2. Внутренний почтовый сервер
3. SandBox (IS120004)
4. СЭР (IS000308)
Необходимо выполнить и проверить следующие интеграции:
1. Росреестр
2. Внутренний почтовый сервер
3. SandBox (IS120004)
4. СЭР (IS000308)
5. ДБО КБ "PSB Corporate 2.0" (IS120081)
6. СУЗ GreenData (IS000259)
Тест-кейсы по интеграции отмечены специальным тегом "интеграционный" - https://tsit-app1/projects/3830301/tests</t>
  </si>
  <si>
    <t xml:space="preserve">На проект 100565 заложен ресурс ТА нhttps://jira.psbnk.msk.ru/browse/SPPI-10436.
На ИС отсутствует выделенный ресурс тест-аналитика. 
В документации отсутствует четкий перечень интеграций.
Уровень совместимости ИС составляет 0%, что соответствует низкому уровню. 
В рассматриваемый период ИТ не проводилось.
Интеграционные кейсы для 5 интеграций:
https://tsit-app1/projects/1332839/tests?isolatedSection=daa48925-a959-44a2-b29e-b6f00e7f1485</t>
  </si>
  <si>
    <t xml:space="preserve">Совместимость </t>
  </si>
  <si>
    <t xml:space="preserve">На ОЭ реализована только половина требуемых интеграций с другими ИС Банка</t>
  </si>
  <si>
    <t xml:space="preserve">2. Промышленная эксплуатация </t>
  </si>
  <si>
    <t xml:space="preserve">Совместимость ИС составляет - 61% от требуемого. Выполнены и проверены следующие интеграции:
1. Way4,  
2. Новая Афина ,
3. АнтиФрод , 
4. Госуслуги , 
5. СБП, 
6. Documentum (АКД),
7. OCRM,
8. ЕПХД, 
9. ФормИТ, 
10. SAP BW, 
11. РКК.
Необходимо выполнить, проверить и подтвердить протоколом тестирования следующие интеграции:
1. SAP CRM,
2. OpenAPI, 
3. Radius, 
4. iSimpleMessageGate,
5. Фактор ЕСБ,
6. СИАМ 2.0,
7. ЕХД DataCollector 
Часть интеграций на текущий момент функционально закрыта на ПРОД (под выключенными фичетогглами). Есть риск возникновения ошибок после открытия.</t>
  </si>
  <si>
    <t xml:space="preserve">ИНФОРМАЦИОННАЯ СИСТЕМА Программно-аппаратный комплекс "Система отправки сообщений iSimpleMessageGate" </t>
  </si>
  <si>
    <t xml:space="preserve">Совместимость ИС составляет - 100%
Выполнены и проверены следующие интеграции:
mydss
2fa
cm_express (мессенджер молния)
cert_expires (сервис ДБО МСБ)
crmdynamics
antifraud
botivr
lki
zabbix
jobportal
way4
greendata
dpk
retail
arcsight
acrm
crmdynamics
sys_cisco_ise
afina
way4
psbonline
tezis
Фактор 
remoteBankingPlatform (дбо)
siebel
формит</t>
  </si>
  <si>
    <t xml:space="preserve">Совместимость ИС составляет - 100%.
Выполнены и проверены следующие интеграции:
1. ИС NCC Naumen
2.ACRM</t>
  </si>
  <si>
    <t xml:space="preserve">Совместимость ИС составляет 82% от требуемого. Необходимо выполнить интеграции с оставшимися 18% систем. Поэтапная интеграция с системами запланирована до конца ИЗ ИС.</t>
  </si>
  <si>
    <t xml:space="preserve">Не возможно измерить Подхарактеристику качества, ввиду отсутствия артефактов тестирования.</t>
  </si>
  <si>
    <t xml:space="preserve">Не возможно измерить Подхарактеристику качества. Не предоставлены результаты интеграционного тестирования, подтверждающие факт реализации интеграций ИС в контур Банка,  ввиду отсутствия профильного ресурса.</t>
  </si>
  <si>
    <t xml:space="preserve">Совместимость ИС составляет - 100% от требуемого. Выполнены и проверены следующие интеграции:
1. MS AD - ИЗ ЕО
2. 1С ЗУП - ИЗ ЕО
3. КК - ИЗ ЕО
4. НА - ИЗ ЕО
5. Почтовый сервис - ИЗ ЕО
6. СИАМ 2.0 - ИЗ ЕО
7. Сайт Банка - ИЗ ЕО 
8. ДБО ПСБ Corporate - ИЗ ЕО</t>
  </si>
  <si>
    <t xml:space="preserve">Совместимость ИС составляет - 100%  от требуемого.  Выполнены и проверены следующие интеграции:
1. Новая Афина - ФориИт
2. ФормИт - RS-Connect
3. RS-Connect - СМЭВ</t>
  </si>
  <si>
    <t xml:space="preserve">Совместимость ИС составляет - 92%
Общий список интеграций:
1) Regberry - (включая прослойку DMZ)
2) banki.ru
3) Фактор-ESB
4) ИС Операционная CRM СМБ
5) ИС ПСБ Бизнес
6) ИС CBS Athena
7) Нецелевой Новая Афина 
8) ИС Корпоративная электронная почта
9) ИС MS Active Directory
10) ИС КИБ СерчИнформ
11) Кредитный конвейер ОПК
12) СРМ ОПК
13) АРМ администратора
Из них проверены и реализованы все, кроме "10) ИС КИБ СерчИнформ"</t>
  </si>
  <si>
    <t xml:space="preserve">Не возможно измерить Подхарактеристику качества. Не предоставлены результаты итерационного тестирования, подтверждающие факт реализации интеграций ИС в контур Банка,  ввиду отсутствия ресурса Исполнителя       (Тест-Аналитика)</t>
  </si>
  <si>
    <t xml:space="preserve">Показатель Качества не подтвержден актуальными Артефактами:
–  Концептуальным Дизайном;
–  Архитектурной схемой;
Актуальная архсхема не актуальна (от 2021г.). Частично схема актуализировалась в рамках проекта Ускорение производства (https://jira.psbnk.msk.ru/browse/ARCHTASK-3447). 
Но т.к. на тестовых контурах отрабатывают интеграционные кейсы, продуктивное окружение так же работает стабильно, можем сделать вывод что все необходимые интеграции настроены</t>
  </si>
  <si>
    <t xml:space="preserve">Совместимость ИС составляет 100%  от требуемого.  
Выполнены и проверены следующие интеграции:
1. ДБО КБ
2. АКД
3. Новая Афина</t>
  </si>
  <si>
    <t xml:space="preserve">Система интегирована с : QUIK, FactorESB , PSB-Retail, Diasoft Custody Client, FormIt. Не смотря на это - невозможно измерить Подхарактеристику качества. Не предоставлены результаты интеграционного тестирования, подтверждающие факт реализации интеграций ИС в контур Банка,  ввиду отсутствия профильного ресурса</t>
  </si>
  <si>
    <t xml:space="preserve">Невозможно измерить Подхарактеристику качества. Не предоставлены результаты интеграционного тестирования, подтверждающие факт реализации интеграций ИС в контур Банка,  ввиду отсутствия профильного ресурса тест-аналитика.</t>
  </si>
  <si>
    <t xml:space="preserve">Совместимость ИС составляет - 75%  от требуемого.  Выполнены и проверены следующие интеграции:
АСПР 
Новая Афина 
OpenData 
УАИГ 
ЕПХД 
DataMiner
Необходимо выполнить и проверить следующие интеграции:
ДБО
АПРбот</t>
  </si>
  <si>
    <t xml:space="preserve">Невозможно измерить Подхарактеристику качества. Не предоставлены результаты интеграционного тестирования, подтверждающие факт реализации интеграций ИС в контур Банка,  ввиду отсутствия профильного ресурса тест-аналитика</t>
  </si>
  <si>
    <t xml:space="preserve">Невозможно измерить Подхарактеристику качества ввиду отсутствия ресурса Тест-Аналитика 
Трассировка интеграционных требований не ведется.</t>
  </si>
  <si>
    <t xml:space="preserve">Совместимость системы соответствует заявленной на 100%. Все 34 предусмотренные интеграции реализованы и проверены. </t>
  </si>
  <si>
    <t xml:space="preserve">Артефакты тестирования интеграций ИСслабо идентифицируются. Не к кому обратиться за получением и выделением таких проверок из общего перечня проверок. Зачатсую они не отделимы от проверки других ФТ-требований и проверяются опосредованно</t>
  </si>
  <si>
    <t xml:space="preserve">ЖЦ ИС</t>
  </si>
  <si>
    <t>Надежность</t>
  </si>
  <si>
    <t xml:space="preserve">Коррекция ошибок</t>
  </si>
  <si>
    <t xml:space="preserve">Ошибки выявленные в процессе тестирования , зарегистрированы в СУЗ Банка и исправляются в объеме - 100% от выявленных  Ошибок в проверяемом периоде: 95</t>
  </si>
  <si>
    <t xml:space="preserve">Ошибки, выявленные в процессе тестирования, зарегистрированы в СУЗ Банка и исправляются в объеме - 75,7% от выявленных Ошибок в проверяемом периоде. Исправление остальных открытых ошибок выполняется в следующих релизах.</t>
  </si>
  <si>
    <t xml:space="preserve">Показатель Качества не подтвержден Исполнителем (Тест-Менеджером) Отчетной информацией из СУЗ о количестве  зарегистрированных и исправленных в процессе тестирования Ошибок за проверяемый период., т.к. невозможнов СУЗ отделить ошибки, которые заводятся на ПРОД от ошибок заведенных во время тестирования.</t>
  </si>
  <si>
    <t xml:space="preserve">Невозможно измерить Подхарактеристику Качества ввиду того, что ошибки выявленные в процессе тестирования регистрируются не в СУЗ Банка, а во внешней платформе "Локатор Систематика".</t>
  </si>
  <si>
    <t xml:space="preserve">Показатель Качества не подтвержден Исполнителем (Тест-Менеджером) Отчетной информацией из СУЗ о количестве  зарегистрированных и исправленных в процессе тестирования Ошибок за проверяемый период.</t>
  </si>
  <si>
    <t xml:space="preserve">Ошибки выявленные в процессе тестирования , зарегистрированы в СУЗ Банка и исправляются в объеме - 97% от выявленных Ошибок в проверяемом периоде, что соответветствует высокому уровню коррекции ошибок. Данные предоставлены тестировщиком.</t>
  </si>
  <si>
    <t xml:space="preserve">Невозможно измерить в связи с тем, что ошибки, выявленные в процессе тестирования, не регистрировались в СУЗ Банка в рассматриваемый период.</t>
  </si>
  <si>
    <t xml:space="preserve">Ошибки выявленные в процессе тестирования зарегистрированы в СУЗ Банка и исправлены в объеме 100% от выявленных Ошибок в проверяемом периоде</t>
  </si>
  <si>
    <t xml:space="preserve">Невозможно измерить в связи с тем, что ошибки, выявленные в процессе тестирования, не регистрируются в СУЗ Банка</t>
  </si>
  <si>
    <t xml:space="preserve">НАДЕЖНОСТЬ </t>
  </si>
  <si>
    <t xml:space="preserve">КОРРЕКЦИЯ ОШИБОК</t>
  </si>
  <si>
    <t xml:space="preserve">В половине случаев регистрация Ошибок не прозводится в СУЗ.</t>
  </si>
  <si>
    <t xml:space="preserve">2 Промышленная эксплуатация  </t>
  </si>
  <si>
    <t xml:space="preserve">Ошибки выявленные в процессе тестирования , зарегистрированы в СУЗ Банка и исправляются в объеме - 57% от выявленных  Ошибок в проверяемом периоде в связи с частыми релизами, большим объемом задач.</t>
  </si>
  <si>
    <t xml:space="preserve">Ошибки выявленные в процессе тестирования и разработки исправляются в объеме - 97% от выявленных в проверяемом периоде</t>
  </si>
  <si>
    <t xml:space="preserve">Ошибки выявленные в процессе тестирования и разработки исправляются в объеме - 87% от выявленных в проверяемом периоде</t>
  </si>
  <si>
    <t xml:space="preserve">Ошибки выявленные в процессе тестирования, зарегистрированы в СУЗ Банка и исправляются в объеме - 49 % от выявленных в проверяемом периоде. Уровень коррекции ошибок в анализируемом периоде на  среднем  уровне по причине недостаточности человеческих ресурсов в производстве на исправление ошибок после общебанковской оптимизации и секвестировния бюджета проекта.</t>
  </si>
  <si>
    <t>Н</t>
  </si>
  <si>
    <t>Неприменимо</t>
  </si>
  <si>
    <t xml:space="preserve">Не возможно измерить Подхарактеристику Качества ввиду невозможности получить информацию о фактическом количестве зарегистрированных и исправленных в процессе тестирования ошибок, т.к. коробочный продукт. Следовательно все доработки протестированы и все ошибки исправлены вендором. Релизов за проверяемый период не было.</t>
  </si>
  <si>
    <t xml:space="preserve">Ошибки выявленные в процессе тестирования, зарегистрированы в СУЗ Банка и исправляются в объеме - 100% от выявленных Ошибок в проверяемом периоде.</t>
  </si>
  <si>
    <t xml:space="preserve">Ошибки, выявленные в процессе тестирования, зарегистрированы в СУЗ Банка и исправляются в объеме - 66% от выявленных Ошибок в проверяемом периоде. 
Исправление открытой ошибки KKOPK-649045 "Не все данные загружаются в "Отчет аудита входа в ИС" на ПРепроде и Деве" планируется  в будущем релизе 4.0 (ошибка, общая для КК и ЕО).</t>
  </si>
  <si>
    <t xml:space="preserve">Невозможно измерить Подхарактеристику Качества ввиду непредоставления  Исполнителем ( Тест-Менеджером) информации  о фактическом количестве зарегистрированных в СУЗ  и исправленных в процессе тестирования ошибок  по причине отсутствия зарегистрированных в отчетном периоде</t>
  </si>
  <si>
    <t xml:space="preserve">Ошибки выявленные в процессе тестирования, зарегистрированы в СУЗ Банка и исправляются в объеме - 39% от выявленных  ошибок в проверяемом периоде.</t>
  </si>
  <si>
    <t xml:space="preserve">Не возможно измерить Подхарактеристику Качества ввиду невозможности получить инфорамацию о фактическом  количестве зарегистрированных и исправленных в процессе тестирования ошибок  из-за отсутствия заведнных ошибок в СУЗ.</t>
  </si>
  <si>
    <t xml:space="preserve">Не возможно применить данное Требование к оцениваемой ИС ввиду отсутствия релизов за измеряемый период, как следствие отсутствие необходимости тестирования ИС.</t>
  </si>
  <si>
    <t xml:space="preserve">Не возможно измерить Подхарактеристику Качества ввиду невозможности получить информацию о фактическом количестве зарегистрированных и исправленных в процессе тестирования ошибок, т.к. коробочный продукт. Следовательно все доработки протестированы и все ошибки исправлены вендором.</t>
  </si>
  <si>
    <t xml:space="preserve">Невозможно измерить Подхарактеристику Качества. Не произовдились тестирования в отчетном периоде</t>
  </si>
  <si>
    <t xml:space="preserve">Подхарактеристика качества имеет высокий уровень, так как 5 из 6 ошибок были исправленны за проверяемый период</t>
  </si>
  <si>
    <t xml:space="preserve">Невозможно измерить данный показатель, так как ошибки в пространстве СУЗ Банка не фиксируются</t>
  </si>
  <si>
    <t xml:space="preserve">Ошибки выявленные в процессе тестирования , зарегистрированы в СУЗ Банка и исправляются в объеме - 0% от выявленных  Ошибок в проверяемом периоде.</t>
  </si>
  <si>
    <t xml:space="preserve">Ошибки, выявленные в процессе тестирования, зарегистрированы в СУЗ Банка и исправляются в объеме - 90% от выявленных  Ошибок в проверяемом периоде.
Общее количество ошибок 312, закрыто 272, что составялет 87%</t>
  </si>
  <si>
    <t xml:space="preserve">За проверяемый период, на тестовых окружениях системы было обнаружено 5 ошибок (4 в project ruler, 1 в jira).  
На момент оценки, ни одна из ошибок не является закрытой. 
12 ошибок (jira) выявлены в условиях промышленной среды, поэтому в расчетах не учавствуют (по регламентам, ошибкой называется некачественная реализация требования, найденная на тестовом окружении; несоответствие реализации требованиям, найденном на рабочем окружении называется дефектом). </t>
  </si>
  <si>
    <t xml:space="preserve">Ошибки выявленные в процессе тестирования , зарегистрированы в СУЗ Банка и исправляются в объеме 40 % от выявленных  Ошибок в проверяемом периоде.</t>
  </si>
  <si>
    <t xml:space="preserve">За проверямый период, ошибок системы при тестировании зафиксировано не было </t>
  </si>
  <si>
    <t xml:space="preserve">Ошибки выявленные в процессе тестирования, зарегистрированы в СУЗ Банка и исправляются в объеме - 21% от выявленных Ошибок в проверяемом периоде.</t>
  </si>
  <si>
    <t xml:space="preserve">Невозможно измерить Подхарактеристику Качества ввиду отсутсвия информации о фактическом количестве зарегистрированных в СУЗ и исправленных в процессе тестирования ошибок. Система разрабатывается вендором. Обращения, которые обрабатывает вендор не дублируются в банковские пространства</t>
  </si>
  <si>
    <t xml:space="preserve">Подхарактеристика качества имеет средний уровень так как за проверяемы период было исправленно 53% ошибок</t>
  </si>
  <si>
    <t xml:space="preserve">Подхарактеристика качества имеет высокий уровень так как 80 % ошибок были исправлены</t>
  </si>
  <si>
    <t xml:space="preserve">Неприменимо </t>
  </si>
  <si>
    <t xml:space="preserve">Ошибки, выявленные в процессе тестирования, зарегистрированы в СУЗ Банка и исправляются в объеме 96% от выявленных Ошибок в проверяемом периоде.
За проверямый период во время тестирования было зарегистрировано 124 ошибки. Из 124 ошибок 115 ошибок было решено. </t>
  </si>
  <si>
    <t xml:space="preserve">Неоперативное исправление Ошибок просиходит по причине недостаточности человеческих русурсов и  сложности фиксирования ошибок, если тестирование происходит на стороне вендора.</t>
  </si>
  <si>
    <t xml:space="preserve">ЖЦ ОЭ</t>
  </si>
  <si>
    <t xml:space="preserve">Надежность </t>
  </si>
  <si>
    <t xml:space="preserve">Среднее время восстановления после ТС</t>
  </si>
  <si>
    <t xml:space="preserve">Среднее время восстановления ИС  соответствует установленному  на 100 %, что является  высоким уровнем восстановления ИС по отношению к RTO (времени восстановления) .</t>
  </si>
  <si>
    <t xml:space="preserve">Подхарактеристика качества в проверяемом периоде неприменима, т.к. технические сбои не зарегистрированы.</t>
  </si>
  <si>
    <t xml:space="preserve">Среднее время восстановления ИС  соответствует установленному  на  100 %, что  является  высоким уровнем восстановления ИС по отношению к RTO (времени восстановления).</t>
  </si>
  <si>
    <t xml:space="preserve">Среднее время восстановления ИС не соответствует установленному на 63 %, что является уровнем восстановления ИС ниже среднего по отношению к RTO (времени восстановления 4 часа) . Простоев не зафиксировано. Среднее время деградации (10 ч) было больше установленного для простоя RTO. Зарегистировано 8 ТС.</t>
  </si>
  <si>
    <t xml:space="preserve">Подхарактеристика качества в проверяемом периоде не применима, т.к. технические сбои не зарегистрированы.</t>
  </si>
  <si>
    <t xml:space="preserve">Метрика неприменима ввиду отсутствия Технических сбоев в проверяемом периоде</t>
  </si>
  <si>
    <t xml:space="preserve">Показатель качества не применим ввиду отсутствия требований к ИС на текущем этапе жизненного цикла. ИС не введена в Опытную Эксплуатацию</t>
  </si>
  <si>
    <t xml:space="preserve">СРЕДНЕЕ ВРЕМЯ ВОССТАНОВЛЕНИЕ ИС</t>
  </si>
  <si>
    <t xml:space="preserve">На ОЭ  зачастую не регистристуются ТС.</t>
  </si>
  <si>
    <t xml:space="preserve">1 Промышленная Эксплуатация </t>
  </si>
  <si>
    <t xml:space="preserve">ЖЦ </t>
  </si>
  <si>
    <t xml:space="preserve">Среднее время восстановления ИС  соответствует установленному  на 19%, что  является низким уровнем  восстановления ИС  по отношению к RTO (времени восстановления = 30 минут). Технические причины долгого восстановления были установлены и устранены</t>
  </si>
  <si>
    <t xml:space="preserve">Среднее время восстановления ИС  соответствует установленному  на 44%, что является  средним уровнем восстановления ИС по отношению к RTO (времени восстановления). Показатель качества повышен, т.к. ТС 9620 был на стороне оператора связи.</t>
  </si>
  <si>
    <t xml:space="preserve">Среднее время восстановления ИС  соответствует установленному  на 53 %, что является  средним уровнем восстановления ИС по отношению к RTO (времени восстановления) .</t>
  </si>
  <si>
    <t xml:space="preserve">Не применимо</t>
  </si>
  <si>
    <t xml:space="preserve">Показатель "Среднее время восстановления ИС " неприменим в анализируемом периоде по причине отсутствия ТС1/2 приоритетов. Полной недоступности к ИС или функционалу/операциям ИС на протяжении 4 кв.2025 года зафиксировано не было.</t>
  </si>
  <si>
    <t xml:space="preserve">Среднее время восстановления ИС  соответствует установленному  на 39%, что  является ниже среднего уровнем восстановления ИС по отношению к RTO (времени восстановления = 30 минут). Технические причины долгого восстановления были установлены и устранены.
Рассчитано исходя из класса критичности МС, а также включения в расчет ТС 3 и 4 приоритета</t>
  </si>
  <si>
    <t xml:space="preserve">Подхарактеристика качества в проверяемом периоде не применима, т.к. технические сбои за проверяемы период не зарегистрированы.</t>
  </si>
  <si>
    <t xml:space="preserve">Подхарактеристика качества   в проверяемом периоде не применима, т.к. технические сбои по данной ИС не зарегистрированы.</t>
  </si>
  <si>
    <t xml:space="preserve">Среднее время восстановления ИС  соответствует 40,36 минут, что является  высоким уровнем восстановления ИС по отношению к RTO (времени восстановления).</t>
  </si>
  <si>
    <t xml:space="preserve">В проверяемом периоде на Информационной системе не зафиксированы технические сбои.</t>
  </si>
  <si>
    <t xml:space="preserve">Показатель качества соответствует ожиданиям</t>
  </si>
  <si>
    <t xml:space="preserve">Информационная система недоступна. ТС не заведен, ввиду отсутствия профильного ресурса(Сопровождения 2а линия)</t>
  </si>
  <si>
    <t xml:space="preserve">Подхарактеристика имеет высокий уровень. Среднее время устранения ТС 1055 минут. по ВНД на устранения ТС дается 1440 минут</t>
  </si>
  <si>
    <t xml:space="preserve">Подхарактеристика качества имеет высокий уровень.так как среднее время востановление одного ТС 147 минут, когда по ВНД срок стоит 240 минут</t>
  </si>
  <si>
    <t xml:space="preserve">Среднее время восстановления ИС  ниже среднего.</t>
  </si>
  <si>
    <t xml:space="preserve">Среднее время восстановления ИС  соответствует установленному  на 50%, что  является уровнем  восстановления ИС ниже среднего по отношению к RTO (времени восстановления = 30 минут). Технические причины долгого восстановления были установлены и устранены</t>
  </si>
  <si>
    <t xml:space="preserve">Среднее время восстановления ИС  соответствует установленному на  44%, что  является  уровнем ниже среднего восстановления ИС по отношению к RTO (времени восстановления)
Среднее время восстановления на системе в следствие технического сбоя - 68 минут, при этом RTO для информационных систем класса критичности Mission Critical составляет 30 минут.  Среднее время восстановления системы более чем в два раза больше регламентированного.</t>
  </si>
  <si>
    <t xml:space="preserve">Среднее время восстановления ИС  соответствует установленному , что  является  высоким уровнем восстановления ИС по отношению к RTO (времени восстановления).</t>
  </si>
  <si>
    <t xml:space="preserve">Среднее время восстановления ИС  соответствует установленному  на  0 %, что  является низким уровнем восстановления ИС по отношению к RTO (времени восстановления).
Для данной системы установленный RTO - 30 минут. Основной вклад в несоответсвие RTO ожидаемому внес ТС №9039, решение которого потребовало установки новой версии системы. 
В общей сумме, система за IV квартал 2025 года деградировала на протяжении 17364 минут</t>
  </si>
  <si>
    <t xml:space="preserve">Среднее время восстановления ИС  соответствует установленному  на 37%, что  является  уровнем восстановления ИС  ниже среднего по отношению к RTO (времени восстановления)</t>
  </si>
  <si>
    <t xml:space="preserve">Среднее время восстановления ИС  соответствует установленному на 100%, что  является высоким уровнем восстановления ИС по отношению к RTO (времени восстановления). Высокий уровень подхарактеристики качества вызван отсутсвием технических сбоев за проверяемый период</t>
  </si>
  <si>
    <t xml:space="preserve">Подхарактеристика качества имеет высокий уровень. В среднем один ТС востанавливался за 1529 минут. по внд норматив 1440 минут</t>
  </si>
  <si>
    <t xml:space="preserve">Подхарактеристика качества не применима, так как за проверяемый период не было ТС и невозможно понять скорость востановления после ТС</t>
  </si>
  <si>
    <t xml:space="preserve">Среднее время восстановления ИС  соответствует установленному  на  100 %, что  является  высоким уровнем восстановления ИС по отношению к RTO (времени восстановления)</t>
  </si>
  <si>
    <t xml:space="preserve">Среднее время восстановления ИС  соответствует установленному  на 72%, что является уровнем восстановления ИС по отношению к RTO (времени восстановления) выше среднего 
Так как система имеет класс критичность MISSON CRITICAL, допустимое время восстановления - 30 минут</t>
  </si>
  <si>
    <t xml:space="preserve">ИС восстанавливаются после ТС недостаточно быстро.</t>
  </si>
  <si>
    <t xml:space="preserve">Доступность ИС и  технологических процессов</t>
  </si>
  <si>
    <t xml:space="preserve">В проверяемом периоде Информационная система (и/или ее сервисы)  была недоступна 145 минут, что составляет 0,99 % от общего планового времени доступности. Зарегистрировано 1 технический сбой.</t>
  </si>
  <si>
    <t xml:space="preserve">Технологические процессы были доступна 100% запланированного времени в соответствии в ее классом критичности (ВС). Технические сбои в проверяемом периоде не зарегистрированы</t>
  </si>
  <si>
    <t xml:space="preserve">Доступность ИС соответствует установленной на 80%, что является уровнем доступности ИС выше среднего по отношению к к заявленному времени восстановления по КК ВО. 
Нарушение SLA по устранению ТС по следующим причинам:
1. Проблемы в коммуникациях при возникновении ТС в выходные дни.
2. Большая зависимость от СИ - изменение сетевой схемы и переподключение интеграции.</t>
  </si>
  <si>
    <t xml:space="preserve">В проверяемом периоде ИС (и/или ее сервисы)  была доступна 2123 ч, что составляет 96% от общего планового времени доступности. Зарегистрировано 8 техническийх сбоев.</t>
  </si>
  <si>
    <t xml:space="preserve">Интеграции на проде выключены, пользователей нет на проде: на основании этих данных можно сделать выводы, что система на проде недоступна</t>
  </si>
  <si>
    <t xml:space="preserve">Невозможно измерить Подхарактеристику Качества ввиду отсутствия пользователей на проде в период опытной эксплуатации</t>
  </si>
  <si>
    <t xml:space="preserve">В проверяемом периоде Информационная система была доступна на 100% от общего планового времени доступности в соответствии с ее классом критичности (ВC, 24/7). Однако показатель качества изменен на "Неприенимо" в связи с отсутствием пользователей на прод в период ДО ввода в ОЭ, ИС введена в самом конце рассматриваемого периода. На прод работали только 2 администратора.</t>
  </si>
  <si>
    <t xml:space="preserve">В проверяемом периоде Информационная система была доступна на 100% от общего планового времени доступности в соответствии с ее классом критичности (ВО, 8/5).</t>
  </si>
  <si>
    <t>НАДЕЖНОСТЬ</t>
  </si>
  <si>
    <t xml:space="preserve">ДОСТУПНОСТЬ ИС и ТЕХНОЛОГИЧЕСКИХ ПРОЦЕССОВ</t>
  </si>
  <si>
    <t xml:space="preserve">На ОЭ не на все ИС выведены пользователи, в этом случае ИС считается недоступной все время, пока пользователи не приступают к ОЭ.</t>
  </si>
  <si>
    <t xml:space="preserve">1 Промышленная Эксплуатация</t>
  </si>
  <si>
    <t xml:space="preserve">Доступность ИС и технологических процессов</t>
  </si>
  <si>
    <t xml:space="preserve">а 4 квартал было 2 ТС приоритета 1 (1 из которых инфраструктурный) с простоем , и 5 ТС приоритета 2 (1 из которых инфраструктурный) с деградацией . Были нарушены следующие технологические процессы: 
ТПрКО4 Технологический процесс, обеспечивающий осуществление переводов денежных средств по поручению физических лиц по их банковским счетам
ТПрКО11 Технологический процесс, обеспечивающий работу онлайн-сервисов дистанционного обслуживания и доступа к осуществлению операций
25 ТС с приоритетом 3 и 4  с деградацией</t>
  </si>
  <si>
    <t xml:space="preserve">В проверяемом периоде Информационная система (и/или ее сервисы)  была недоступна (деградация) 205 минут, что составляет 0,1 % от общего планового времени доступности. Зарегистрировано 3 технических сбоя.</t>
  </si>
  <si>
    <t xml:space="preserve">В проверяемом периоде на Информационной системе был зарегистрирован 2 Технических сбоя, что привело к деградации на  902 минуты, что составляет 0,6 % от общего планового времени доступности. Зарегистрирован 2 Технических сбоя (деградация).</t>
  </si>
  <si>
    <t xml:space="preserve">В проверяемом периоде Информационная система (и/или ее сервисы)  была доступна 125 997 минут, что составляет 92% от общего планового времени доступности. Зарегистрировано 13 инфраструктурных и резизных ТС (общая длительность которых составила 8335 мин). В течение 6483 минуты была деградация технологических процессов обеспечивающих: осуществление переводов денежных средств по поручению юридических лиц, в том числе банков-корреспондентов, по их банковским счетам, за исключением переводов по распоряжениям участников платежной системы; привлечение денежных средств юридических лиц во вклады; открытие и ведение банковских счетов юридических лиц.</t>
  </si>
  <si>
    <t xml:space="preserve">В поверяемом периоде ИС была недоступна 304 минуты, что составляет 0,23% от общего времени доступности. Зарегистрировано 4 Технических сбоя.</t>
  </si>
  <si>
    <t xml:space="preserve">Технологические процессы были доступны 100% от запланированного времени в соответствии с её классом критичности. </t>
  </si>
  <si>
    <t xml:space="preserve">Доступность ИС  соответствует установленному  на  96 %, что  является высоким уровнем доступности ИС по отношению к RTO (времени восстановления)</t>
  </si>
  <si>
    <t xml:space="preserve">В проверяемом периоде Информационная система в течение 444 минут зафиксированы технические сбои, что составляет 1,4% от общего планового времени доступности. 
Всего на Сайте банка (корпоративная платформа) www.psbank.ruзарегистрировано 3 Технических сбоев 2го приоритета общей продолжительностью 30 минут) и 8 Технический сбой 3го приоритета (общей продолжительностью 414 минут).
Технологический процесс, обеспечивающий открытие и ведение банковских счетов юридических лиц не был нарушен.</t>
  </si>
  <si>
    <t xml:space="preserve">За период система отработала 3851 минуту из 4096.</t>
  </si>
  <si>
    <t xml:space="preserve">Технологические процессы были доступны 100% запланированного времени в соответствии с её классом критичности. Технические сбои в проверяемом периоде не зарегистрированы.</t>
  </si>
  <si>
    <t xml:space="preserve">Подхарактеристика качества имеет высокий уровень так как система была доступна 99% времени</t>
  </si>
  <si>
    <t xml:space="preserve">Подхарактеристика качества имеет высокий уровень так как за проверяемы период была доступна 131892 минут из 132480 минут</t>
  </si>
  <si>
    <t xml:space="preserve">Подхарактеристика качества соответсвует </t>
  </si>
  <si>
    <t xml:space="preserve">За 4 квартал было 2 ТС 1го приоритета.  (123 мин простоя)
Общее время ТС за квартал 3080 мин
Были нарушены следующие технологические процессы: 
ТПрКО11 Технологический процесс, обеспечивающий работу онлайн-сервисов дистанционного обслуживания и доступа к осуществлению операций</t>
  </si>
  <si>
    <t xml:space="preserve">В проверяемом периоде Информационная система (и/или ее сервисы)  была недоступна 4, 717 ч./ 283 мин. (часов/минут), что составляет 92 %  от общего планового времени доступности.         Зарегистрировано 4 Технических сбоя.</t>
  </si>
  <si>
    <t xml:space="preserve">За IV квартал 2025 на системе были реализованы два технических сбоя. Оба ТСа были вызваны релизом, установленном в III квартале 2025 (релиз был установлен 29.09 - конец III квартала, начало IV - SVR-49943). Номера ТСов - №9039, №9022
В ТСе №9039 был затронут технологический процесс обработки всех файлов, содержащих корректировки КИ, НБКИ. Об этой ошибке было известно до релиза, но версия, повлекшая ошибки была установлена из-за смены форматов (требование ЦБ). Если бы релиз перенесся, то кредитные конвейеры бы остановились и все запросы в Credit Registry уходили бы в ошибку. 
В ТС №9022 был затронут процесс внутреннего импорта событий в Credit Registry. Причинами ТСа стало несоответствие ТЗ - вариация значений передаваемых от SAPBW отсутствовала, а также отсутствие тестовых данных (их анализ и наличие на тестовых окружениях систем источниках)
Оба ТСа представляют собой деградацию, общее время деграции 17364, из которых 17231 решалась проблема ТСа №9039 - срочный вывод новой версии</t>
  </si>
  <si>
    <t xml:space="preserve">Система в ПЭ, класс критичности Business Critical (BC), плановая доступность 24Х7
4 кв 2025 = 92 дня = 2208 часов = 132480 мин
А: Фактическое время работы (мин) = 132480 - 9984 =  122496
В: Запланированное время работы (мин) = 132480 
Фактическое время работы составляет 92% от запланированное время работы системы, что означает высокий уровень Доступности ИС</t>
  </si>
  <si>
    <t xml:space="preserve">За проверяемый период на системе не было зарегистрировано ни одного технического сбоя</t>
  </si>
  <si>
    <t xml:space="preserve">Подхарактеристика качества имеет высокий уровень качества так как была доступна 29833 минуты  из 31080 минут</t>
  </si>
  <si>
    <t xml:space="preserve">Подхарактеристика качества имеет высокий уровень так как ТС за проверяемый период не было </t>
  </si>
  <si>
    <t xml:space="preserve">Отсутствует соответствующая формулировка в Методике Оценки Качества</t>
  </si>
  <si>
    <t xml:space="preserve">В проверяемом периоде по ИС "ПСБ Бизнес" было зафиксировано 32 технических сбоя. Общее время деградации и/или недоступности системы составляет 1336 минут. 
ТС 1 приоритета - 2 (полная недоступность системы - 65 мин) 
ТС 2 приоритета - 5  (частичная недоступность/деградация системы - 245 мин)
ТС 3 приоритета - 12 (1036 мин) 
ТС 4 приоритета - 13 (55 мин)  
Учитывая, что система должна работать 24/7, общее время недоступности составляет 1%
Стоит учесть, что из 32 зарегистрированных ТС в 20 ТС система ИС "ПСБ Бизнес" выступает как затронутый сервис  
Из 32 технический сбоев, 5 были принесены релизами</t>
  </si>
  <si>
    <t xml:space="preserve">Доступность ИС высокого уровня</t>
  </si>
  <si>
    <t xml:space="preserve">Полнота Резервных Копий Данных</t>
  </si>
  <si>
    <t xml:space="preserve">Резервные копии выполняются в объеме 100% от установленного в Плане-графике резервного копирования. Ошибки резервного копирования составили 0% от планового объема резервных копий</t>
  </si>
  <si>
    <t xml:space="preserve">Резервные копии выполняются в объеме 75% от установленного в Плане-графике резервного копирования. Ошибки резервного копирования составили 0% от планового объема резервных копий. Фактические резервные копии не выполнены или не посчитаны в полном объеме, потому что у исполнителей нет доступов к некоторым хранилищам. Для этого нужна учетная запись с полным доступом, которая есть только у нескольких человек и не передается внутри СРК.</t>
  </si>
  <si>
    <t xml:space="preserve">Показатель Качества не подтвержден. Отсутствует Паспорт Резервного копирования.</t>
  </si>
  <si>
    <t xml:space="preserve">Резервные копии выполняются в объеме 100% от установленного в Плане-графике резервного копирования. Ошибки резервного копирования не зафиксированы.</t>
  </si>
  <si>
    <t xml:space="preserve">Резервные копии выполняются в объеме 100% от установленного в Плане-графике резервного копирования. 
Ошибки резервного копирования составили 0%от планового объема резервных копий». Расчеты проводились на серверах iss-app01, iss-app02, iss-app03, iss-app04, iss-app05, iss-app06, iss-bln01, iss-bln02, iss-bln03 (прод, с учетом РЦОД и ЗЦОД)</t>
  </si>
  <si>
    <t xml:space="preserve">Уровень полноты резервного копирования составляет 100%, что соответствует высокому уровню.</t>
  </si>
  <si>
    <t xml:space="preserve">Резервные копии выполняются в объеме 100% от установленного в Плане-графике резервного копирования. Ошибки резервного копирования не выявлены</t>
  </si>
  <si>
    <t xml:space="preserve">Уровень полноты резервного копирования составляет 82%, что соответствует высокому уровню.</t>
  </si>
  <si>
    <t xml:space="preserve">ПОЛНОТА РЕЗЕРВНЫХ КОПИЙ ДАННЫХ</t>
  </si>
  <si>
    <t xml:space="preserve">На одной из проверямых ИС Резервное Копирование не зпроизводится, поэтому средний показатель по подхарактиристике не достиг Высокого Уровня</t>
  </si>
  <si>
    <t xml:space="preserve">Резервные копии выполняются в объеме 98% от установленного в Плане-графике резервного копирования. Ошибки резервного копирования составили 2% от планового объема резервных копий» по следующим причинам:
- временная недоступность серверов по сети в связи со сбоями или проведением плановых работ, 
- изменения в конфигурациях СУБД Постгрес, 
- проблемы с ИЗ ПО (прокси апплаинсы для Ovirt).</t>
  </si>
  <si>
    <t xml:space="preserve">Резервные копии выполняются в объеме 89% от установленного в Плане-графике резервного копирования. Ошибки резервного копирования составили 11% от планового объема резервных копий</t>
  </si>
  <si>
    <t xml:space="preserve">Резервные копии выполняются в объеме 72 % от установленного в Плане-графике резервного копирования. Ошибок резервного копирования нет.</t>
  </si>
  <si>
    <t xml:space="preserve">Резервные копии выполняются в объёме 100% от установленного в План-графике резервного копирования.</t>
  </si>
  <si>
    <t xml:space="preserve">Резервные копии выполняются в объеме 100% от установленного в Плане-графике резервного копирования.Ошибок резервного копирования не было.</t>
  </si>
  <si>
    <t xml:space="preserve">Резервные копии выполняются в объеме 95,2% от установленного в Плане-графике резервного копирования.
Бэкап выполняется по расписанию 
"Полное: Еженедельно пятница в 00:00
Инкрементное: Каждый день в 00:00", 
глубина хранения - 14 дней. 
По плану за период с 01.10.2025 по 31.12.2025 необходимо было выполнить 1314 резервных копий, фактически выполнено - 1251 резервная копия.</t>
  </si>
  <si>
    <t xml:space="preserve">Резервные копии выполняются в объеме 100 % от установленного в Плане-графике резервного копирования. Ошибки резервного копирования составили 0 % от планового объема резервных копий. </t>
  </si>
  <si>
    <t xml:space="preserve">Резервные копии выполняются в объеме 80% от установленного в Плане-графике резервного копирования. Ошибки резервного копирования составили 20% от планового объема резервных копий» по причине отсутствия резервного копирования СУБД:
srvcdb01.psbnk.msk.ru [172.18.0.105] 
srvcdb02.psbnk.msk.ru [172.18.0.106] 
sb_srvcdb.psbnk.msk.ru [172.18.0.107]</t>
  </si>
  <si>
    <t xml:space="preserve">Резервные копии выполняются в объеме 100% от установленного в План-графике резервного копирования. Ошибок резервного копирования не было.</t>
  </si>
  <si>
    <t xml:space="preserve">Резервные копии выполняются в 100 % от установленного в Плане-графике резервного копирования.</t>
  </si>
  <si>
    <t xml:space="preserve">Подхарактеристика качества имеет высокий уровень. Количество резервных копий факт- 459, план - 482</t>
  </si>
  <si>
    <t xml:space="preserve">Подхарактеристика качества имеет низкий уровень так как факт - 42 паспорта, должно быть - 714</t>
  </si>
  <si>
    <t xml:space="preserve">Резервные копии выполняются в объеме 83 % от установленного в Плане-графике резервного копирования.</t>
  </si>
  <si>
    <t xml:space="preserve">Резервные копии выполняются в объеме 87% от установленного в Плане-графике резервного копирования. Ошибки резервного копирования составили 13% от планового объема резервных копий» по следующим причинам:
 - 4 базы на проде - нет инфы по кол-ву РК и по паспорту и по факту
 - 6 серверов redis на тесте - нет информации из паспортов РК
 - один из серверов бд на тесте снят с РК в связи с отсутствием финансирования</t>
  </si>
  <si>
    <t xml:space="preserve">Согласно Паспорту Мониторинга и Архитектурной Схеме на мониторинг поставлено 11 количество серверов, что составляет 61% от необходимого
На мониторинге стоит 23 сервера. Только 11 серверов из паспорта мониторинга отрисованы на архитектурной схеме. 
В паспорте мониторинга содержатся дубли серверов (smgoz-db1n и smgoz-db2n). 
8 серверов из паспорта мониторинга отсутствуют на архитектурной схеме. 
Особую природу имеют сервера ETL FormIT PGSQL GOZ
MSK-SMI07-01FL-DC-vALTN-GOZ-01 - актуальность их мониторинга вызывает вопросы, на схеме они не отображены, а название неочевидное</t>
  </si>
  <si>
    <t xml:space="preserve">Резервные копии выполняются в объеме 97 % от установленного в Плане-графике резервного копирования. Ошибки резервного копирования составили 3 % от планового объема резервных копий» .</t>
  </si>
  <si>
    <t xml:space="preserve">Резервные копии выполняются в объеме 100% от установленного в Плане-графике резервного копирования. </t>
  </si>
  <si>
    <t xml:space="preserve">Резервные копии выполняются в объеме 85% от установленного в Плане-графике резервного копирования. Ошибки резервного копирования составили 15% от планового объема резервных копий по причине ошибок бэкапа</t>
  </si>
  <si>
    <t xml:space="preserve">Подхарактеристика качества имеет средний уровень. резервных копий факт - 43, план 72.</t>
  </si>
  <si>
    <t xml:space="preserve">Подхарактеристика качества имеет высокий уровень так как фактическое копирование составляет 92% от плана</t>
  </si>
  <si>
    <t xml:space="preserve">Сервера ППО и БД ИС "ПСБ Бизнес" юридически входят в состав ПАК Микросервисная платформа СМБ https://alm.headoffice.psbank.local/sd/operator/#uuid:GMtask$47927167.
В БДКЕ сервера числятся за ПАК  "Микросервисная платформа СМБ", соответственно актуальная статистика по резервным копиям может быть получена только в рамках отдельной оценки качества МК ПАК "Микросервисная платформа СМБ" </t>
  </si>
  <si>
    <t xml:space="preserve">Резервное копирование выполняется на выском уровне</t>
  </si>
  <si>
    <t xml:space="preserve">Модифицируемость (Устанавливают ли Релизы в плановые сроки)</t>
  </si>
  <si>
    <t xml:space="preserve">Общее количество Релизов за проверяемый период 8, из них в плановый срок 7. ИС в ОЭ. ИС была включена в приказ об утверждении графика плановых обновлений информационных систем и операционных систем серверов. 232/5. Был 1 ХФ.</t>
  </si>
  <si>
    <t xml:space="preserve">Неприменимо для измерения Подхарактеристики Качества. Общее количество Релизов за проверяемый период: 2, из них в плановый срок - 0. Система находилась в ОЭ, поэтому все релизы - срочные. График плановых релизов на этап ОЭ не требуется.</t>
  </si>
  <si>
    <t xml:space="preserve">Общее количество Релизов за проверяемый период 24, из них в плановый срок 24.</t>
  </si>
  <si>
    <t xml:space="preserve">Общее количество Релизов за проверяемый период 10, из них в плановый срок 8.</t>
  </si>
  <si>
    <t xml:space="preserve">Общее количество Релизов за проверяемый период 0, из них в плановый срок 0</t>
  </si>
  <si>
    <t xml:space="preserve">Показатель качества неприменим. Релизы в проверяемом периоде отсутствуют. Единственный релиз отклонен по причине неисправления замечаний: SVR-1255664 Проведение срочных работ по обновлению ИС "Единый блок Профессиональных суждений". Версия EBPS_v7.0.1_12.12.2025. График релизов на рассматриваемый период отсутствует.</t>
  </si>
  <si>
    <t xml:space="preserve">Невозможно измерить Подхарактеристику Качества ввиду отсутствия Релизов в проверяемом периоде. 
График релизов отсутствует</t>
  </si>
  <si>
    <t xml:space="preserve">Невозможно измерить Подхарактеристику Качества ввиду отсутствия Релизов в проверяемом периоде. 
Согласование Графика плановых обновлений на 2025 г.
https://jira.psbnk.msk.ru/browse/RELMGMT-6347</t>
  </si>
  <si>
    <t xml:space="preserve">ПРИГОДНОСТЬ ДЛЯ ОБСЛУЖИВАНИЯ</t>
  </si>
  <si>
    <t>МОДИФИЦИРУЕМОСТЬ</t>
  </si>
  <si>
    <t xml:space="preserve">Релизный процесс на ОЭ выстраивается точечно, ввиду отсутствия требований выстраивать его на ОЭ по ВНД Регламент процесса "Управление релизами"</t>
  </si>
  <si>
    <t xml:space="preserve">1 Прлмышленная Эксплуатация </t>
  </si>
  <si>
    <t xml:space="preserve">Общее количество Релизов за проверяемый период 30 , из них в плановый срок 2. Переносы плановых релизов были по причинам: 
22 срочных реиза в связи с необходимостью реализации доработок и исправлений по функционалу ЗОКИИ, устранения ТС.</t>
  </si>
  <si>
    <t xml:space="preserve">Общее количество Релизов за проверяемый период 12, из них в плановый срок 6.</t>
  </si>
  <si>
    <t xml:space="preserve">Общее количество Релизов за проверяемый период 10, из них в плановый срок 5.
Правили график по причине интеграционной зависимости релиза Вэбарм). Релизы были по чт, перенесли на пн. </t>
  </si>
  <si>
    <t xml:space="preserve">Общее количество Релизов за проверяемый период 20, из них в плановый срок 5.</t>
  </si>
  <si>
    <t xml:space="preserve">Невозможно измерить подхарактеристику качества, т.к. релизы в проверяемом периоде отсутствуют.</t>
  </si>
  <si>
    <t xml:space="preserve">Общее количество Релизов за проверяемый период 4, из них в плановый срок 3.</t>
  </si>
  <si>
    <t xml:space="preserve">Неприменимо для измерения Подхарактеристики Качества. Общее количество Релизов за проверяемый период: 1, из них в плановый срок - 0. Система находилась в ОЭ, поэтому все релизы - срочные. График плановых релизов на этап ОЭ не требуется.</t>
  </si>
  <si>
    <t xml:space="preserve">Общее количество Релизов за проверяемый период 0 , из них в плановый срок 0.</t>
  </si>
  <si>
    <t xml:space="preserve">Общее количество Релизов за проверяемый период 7, из них в плановый срок 1. При этом система перешла в ПЭ с 30.11.2025, и после этого был 1 Плановый релиз.</t>
  </si>
  <si>
    <t xml:space="preserve">Общее количество Релизов за проверяемый период 3 , из них в плановый срок 3.</t>
  </si>
  <si>
    <t xml:space="preserve">Не возможно измерить Подхарактеристику Качества ввиду не предоставления информации профильным ресурсом без объяснения причин.</t>
  </si>
  <si>
    <t xml:space="preserve">Невозможно измерить подхарактеристику качества, т.к. график релизов не предусмотрен на ИС.</t>
  </si>
  <si>
    <t xml:space="preserve">Невозможно измерить подхарактеристику качества, поскольку общее количество релизов за отчетный период  0</t>
  </si>
  <si>
    <t xml:space="preserve">Подхарактеристика имеет средний уровень. За провериямый период было плановых релизов - 5, срочных - 5 </t>
  </si>
  <si>
    <t xml:space="preserve">Подхарактиристика качества ниже среднего так как общее количество релизов за период было 4 а в плановый срок 1</t>
  </si>
  <si>
    <t xml:space="preserve">Общее количество Релизов за проверяемый период 25, из них в плановый срок 2, в связи с регуляторными требованиями, а так же необходимостью реализации доработок и исправлений по функционалу ЗОКИИ</t>
  </si>
  <si>
    <t xml:space="preserve">Общее количество Релизов за проверяемый период 10 , из них в плановый срок 0.
Срочность релизов обоснована отсутствием плана-графика релизов. План-график релизов не заводился, так как еще в 2025 году планировался вывод системы из эксплуатации (дата вывода несколько раз переносилась). Большинство релизов представляют собой исправление ошибок, нежели функциональные доработки  </t>
  </si>
  <si>
    <t xml:space="preserve">Общее количество Релизов за проверяемый период 6, из них в плановый срок - 1.</t>
  </si>
  <si>
    <t xml:space="preserve">Общее количество Релизов за проверяемый период - 4, из них в плановый срок - 2.
Релиз SVR-51320 был срочным, так как был призван исправить продолжающийся технический сбой
Релиз SVR-51701 также был срочным. Этот релиз является не типичным, необходимы были работы на продуктивной базе данных </t>
  </si>
  <si>
    <t xml:space="preserve">Общее количество Релизов за проверяемый период 7, из них в плановый срок 4</t>
  </si>
  <si>
    <t xml:space="preserve">Невозможно измерить Подхарактеристику качества. Не предоставлены данные о выполненных Релизах ввиду отсутствия профильного ресурса релиз-менеджера</t>
  </si>
  <si>
    <t xml:space="preserve">Подхарактеристика качества ниже среднего так как за проверяемы период было 6 релизов из которых только 2 в плановый срок.</t>
  </si>
  <si>
    <t xml:space="preserve">не предоставлено Менеджером по качеству ИС</t>
  </si>
  <si>
    <t xml:space="preserve">Общее количество Релизов за проверяемый период - 42, из них в плановый срок 16.
Количество срочных релизов превышает количество плановых в  более чем полтора раза. </t>
  </si>
  <si>
    <t xml:space="preserve">Модифицируемость ИС зачастую происходит в хаотическом порядке. План Релизов не соблюдается</t>
  </si>
  <si>
    <t xml:space="preserve">Разделение компонентов (для микросервисных систем)</t>
  </si>
  <si>
    <t xml:space="preserve">Общее количество МС выведенных на рабочее окружение на дату (31.12.2025) - 30, из них МС, обновление которых не влияет на другие МС  (реализованы независимыми) - 30</t>
  </si>
  <si>
    <t>Неприменмо</t>
  </si>
  <si>
    <t xml:space="preserve">Неприменимо для измерения Подхарактеристики Качества, т.к. тип системы - Коробочный продукт Greendata (трехзвенный монолит), состоящий из серверов приложений, клиента и сервера СУБД. </t>
  </si>
  <si>
    <t xml:space="preserve">Показатель качества не применим. Микросервисы отсутствуют в решении платформы (ЕХД), т.к.ИС - монолит.</t>
  </si>
  <si>
    <t xml:space="preserve">Коробочное решение. Вендорская разработка+минорные доработки на стороне Банка. Микросервисов нет.
Арх таска-https://jira.psbnk.msk.ru/browse/ARCHTASK-11122</t>
  </si>
  <si>
    <t xml:space="preserve">Подхарактеристика качества не применима, т.к. имеет монолитную архитектуру </t>
  </si>
  <si>
    <t xml:space="preserve">Метрика неприменима. ИС имеет трехзвенную архитектуру «Клиент - Сервер приложений - База данных», микросервисов нет.</t>
  </si>
  <si>
    <t xml:space="preserve">Невозможно измерить Подхарактеристику Качества. Микросервисы не реализованы на прод</t>
  </si>
  <si>
    <t xml:space="preserve">бОльшая часть ИС не использует микросервисную ситуацию,  а также потому что ОЭ не всегда ведется эксплуатация ИС, на рабочее окружение МС не выведены и определить реализацию их независимости друг от друга не представляется возможным </t>
  </si>
  <si>
    <t xml:space="preserve">1 Прлмышленная Эксплуатация</t>
  </si>
  <si>
    <t xml:space="preserve">Невозможно измерить Подхарактеристику Качества ввиду непредоставления информации Исполнителем  (Релиз-менеджером) по причине отсутствия эксплуатационнной документации в части описания взаимосвязи и влияния отдельных МС/ доменов в ТЗ, картографии микросервисов. Выведено в ПРОД - 395 МС.</t>
  </si>
  <si>
    <t xml:space="preserve">Общее количество Микросервисов 30, из них микросервисы, обновление которых не влияет на другие микросервисы (реализованы независимыми)  30.</t>
  </si>
  <si>
    <t xml:space="preserve">Общее количество МС выведенных на рабочее окружение на дату (31.12.2025)  - 12, из них МС, обновление которых не влияет на другие МС  (реализованы независимыми) - 12.</t>
  </si>
  <si>
    <t xml:space="preserve">Общее количество МС выведенных на рабочее окружение - 29. МС реализованы независимыми друг от друга.</t>
  </si>
  <si>
    <t xml:space="preserve">Подхарактеристика качества в проверяемом периоде не применима, т.к. ИС не содержит микросервисы.</t>
  </si>
  <si>
    <t xml:space="preserve">Показатель качества не применим. Информационная система является монолитной, без микросервисов.</t>
  </si>
  <si>
    <t xml:space="preserve">Неприменимо для измерения Подхрарактеристики Качества так как тип системы - Трехзвенная архитектура (клиент, сервер СУБД, сервер приложений), что подтвержденно приложенной Архитектурной схемой.</t>
  </si>
  <si>
    <t xml:space="preserve">Неприменимо к системе. Монолит.</t>
  </si>
  <si>
    <t xml:space="preserve">Не возможно применить данное Требование к оцениваемой ИС ввиду отсутствия микросервисов. Система монолит.</t>
  </si>
  <si>
    <t xml:space="preserve">Подхарактеристика качества в проверяемом периоде не применима, т.к. не было Релизов</t>
  </si>
  <si>
    <t xml:space="preserve">Подхарактеристика качества имеет высокий уровень так как все микросервиси могут обновлятся независимо друг от друга.</t>
  </si>
  <si>
    <t xml:space="preserve">Подхарактеристика качества имеет высокий уровень так как релизы не повлекли за собой ТС</t>
  </si>
  <si>
    <t xml:space="preserve">Не возможно измерить Подхарактеристику качества.</t>
  </si>
  <si>
    <t xml:space="preserve">Монолитная архитектура</t>
  </si>
  <si>
    <t xml:space="preserve">СМ ГОЗ - система монолитной архитектуры</t>
  </si>
  <si>
    <t xml:space="preserve">Архитектура системы монолит</t>
  </si>
  <si>
    <t xml:space="preserve">Система является монолитной</t>
  </si>
  <si>
    <t xml:space="preserve">Подхарактеристика качества не применима, т.к. ИС имеет монолитную архитектуру </t>
  </si>
  <si>
    <t xml:space="preserve">Данный показатель не применим, так как информационная система является монолитной</t>
  </si>
  <si>
    <t xml:space="preserve">Не применимо, так как система является монолитной</t>
  </si>
  <si>
    <t xml:space="preserve">Неприменимо для измерения Подхрарактеристики Качества так как ИС "ПСБ Бизнес" с учетом компонентов являетя монолитной системой</t>
  </si>
  <si>
    <t xml:space="preserve">В большей части МС реализованы независимыми друг от друга</t>
  </si>
  <si>
    <t xml:space="preserve">Корректность Срочных Релизов</t>
  </si>
  <si>
    <t xml:space="preserve">Общее количество срочных релизов в проверяемом периоде : 1, из них повлекли Технические сбои 0. Обнаруженный в 4 пункте 1 технический сбой не является релизным (инфраструктурный)</t>
  </si>
  <si>
    <t xml:space="preserve">Общее количество Срочных Релизов в проверяемом периоде: 2, из них повлекли Технические сбои высокого приоритета - 0. </t>
  </si>
  <si>
    <t xml:space="preserve">Общее количество Релизов в проверяемом периоде : 24, из них повлекли Технические сбои 1.</t>
  </si>
  <si>
    <t xml:space="preserve">Общее количество Релизов в проверяемом периоде : 2 , из них повлекли Технические сбои 0.</t>
  </si>
  <si>
    <t xml:space="preserve">Показатель качества не применим. Релизы в проверяемом периоде отсутствуют</t>
  </si>
  <si>
    <t xml:space="preserve">Показатель качества неприменим. Релизы в проверяемом периоде отсутствуют.  Единственный релиз отклонен по причине неисправления замечаний: SVR-1255664 Проведение срочных работ по обновлению ИС "Единый блок Профессиональных суждений". Версия EBPS_v7.0.1_12.12.2025. График релизов на рассматриваемый период отсутствует.</t>
  </si>
  <si>
    <t xml:space="preserve">Показатель качества неприменим. Релизы в проверяемом периоде отсутствуют. </t>
  </si>
  <si>
    <t xml:space="preserve">Программно-аппаратный комплекс "EDSmart</t>
  </si>
  <si>
    <t xml:space="preserve">Срочные Релизы в провсеряемом периоде не повлекли ТС</t>
  </si>
  <si>
    <t xml:space="preserve">Общее количество срочных Релизов в проверяемом периоде : 28, из них повлекли Технические сбои - 6</t>
  </si>
  <si>
    <t xml:space="preserve">Общее количество срочных релизов в проверяемом периоде : 6, из них повлекли Технические сбои 0. Обнаруженные в 4 п. 3 технических сбоя не являются релизными (инфраструктурные)</t>
  </si>
  <si>
    <t xml:space="preserve">Общее количество срочных Релизов в проверяемом периоде : 4, из них повлекли Технические сбои 0. Обнаруженные в 4 пункте 2 технических сбоя не является релизным (инфраструктурный)</t>
  </si>
  <si>
    <t xml:space="preserve">Общее количество срочных Релизов в проверяемом периоде 15 из них повлекли Технические сбои 0.</t>
  </si>
  <si>
    <t xml:space="preserve">Показатель качества не применим. Срочые релизы в проверяемом периоде отсутствуют.</t>
  </si>
  <si>
    <t xml:space="preserve">Общее количество Релизов в проверяемом периоде : 1 , из них повлекли Технические сбои 0 . </t>
  </si>
  <si>
    <t xml:space="preserve">Срочных релизов с функционалом "ИЗ Единое окно ОПК" в периоде с 01.10.2025 по 31.12.20025 не было. 
В рамках "Кредитного конвейера ОПК" был выпущен срочный релиз 2.4, ТС отсутствуют. </t>
  </si>
  <si>
    <t xml:space="preserve">При отсутствии Релизов в проверяемом периоде:  Показатель качества неприменим. Релизы в проверяемом периоде отсутствуют.</t>
  </si>
  <si>
    <t xml:space="preserve">Общее количество Срочных функциональных релизов в проверяемом периоде: 6, из них 0 повлекли Технические сбой.</t>
  </si>
  <si>
    <t xml:space="preserve">Показатель качества не применим. Срочные функциональные релизы в проверяемом периоде отсутствуют.</t>
  </si>
  <si>
    <t xml:space="preserve">Не возможно применить данное Требование к оцениваемой ИС ввиду отсутствия релизов за измеряемый период, как следствие отсутствие возможности оценить их корректность.</t>
  </si>
  <si>
    <t xml:space="preserve">Общее количество Релизов в проверяемом периоде 8 , из них повлекли Технические сбои 0 </t>
  </si>
  <si>
    <t xml:space="preserve">Не возможно применить данное Требование Общее количество Релизов за проверяемый период  0</t>
  </si>
  <si>
    <t xml:space="preserve">Подхарактеристика имеет высокий уровень. ТС вызваных релизом не было.</t>
  </si>
  <si>
    <t xml:space="preserve">Общее количество Релизов в проверяемом периоде : 1 , из них повлекли Технические сбои 0</t>
  </si>
  <si>
    <t xml:space="preserve">Общее количество срочных Релизов в проверяемом периоде : 24, из них повлекли Технические сбои - 2.</t>
  </si>
  <si>
    <t xml:space="preserve">Общее количество Релизов в проверяемом периоде: 10, из них повлекли Технические сбои 0</t>
  </si>
  <si>
    <t xml:space="preserve">Общее  количество Релизов в проверяемом периоде : 5 , из них повлекли Технические сбои: 0.</t>
  </si>
  <si>
    <t xml:space="preserve">Общее количество срочных функциональных релизов в проверяемом периоде: 2, из них повлекли Технические сбои 0</t>
  </si>
  <si>
    <t xml:space="preserve">Общее количество Релизов в проверяемом периоде: 3, из них повлекли Технические сбои 0</t>
  </si>
  <si>
    <t xml:space="preserve">Невозможно измерить Подхарактеристику Качества. Не предоставлены данные о выполненных Релизах, ввиду отсутствия профильного ресурса релиз-менеджера</t>
  </si>
  <si>
    <t xml:space="preserve">Подхарактеристика качества имеет средний уровень так как   2 релиза повлекли за собой ТС из 4 релизов</t>
  </si>
  <si>
    <t xml:space="preserve">За отчетный период было 2 срочный релиз который не вызвал ТС</t>
  </si>
  <si>
    <t xml:space="preserve">Общее количество срочных релизов в проверяемом периоде составляет 26 релизов, 1 из них повлёк заведение ТС: 
1 ТС 3 Приоритета (9276)</t>
  </si>
  <si>
    <t xml:space="preserve">Срочные релизы имеют высокий уровень корркетности, потому что суть срочного релиза зачастую исправить ТС после планового,это не полноценный Релиз, а точечная поставка.</t>
  </si>
  <si>
    <t xml:space="preserve">Корректность Плановых Релизов</t>
  </si>
  <si>
    <t xml:space="preserve">Общее количество плановых релизов в проверяемом периоде : 7, из них повлекли Технические сбои 0. Обнаруженный в 4 пункте 1 технический сбой не является релизным (инфраструктурный)</t>
  </si>
  <si>
    <t xml:space="preserve">Неприменимо для измерения Подхарактеристики Качества, т.к. плановые Релизы в проверяемом периоде отсутствуют. Система находится в ОЭ.</t>
  </si>
  <si>
    <t xml:space="preserve">Показатель качества не применим. Плановые релизы в проверяемом периоде отсутствуют.</t>
  </si>
  <si>
    <t xml:space="preserve">Общее количество плановых функциональных релизов в проверяемом периоде : 8, из них повлекли Технические сбои 0</t>
  </si>
  <si>
    <t xml:space="preserve">КОРРЕКТНОСТЬ РЕЛИЗОВ</t>
  </si>
  <si>
    <t xml:space="preserve">Плановые релизы в проверяемом периоде не повлекли ТС</t>
  </si>
  <si>
    <t xml:space="preserve">Общее количество плановых Релизов в проверяемом периоде : 2, из них повлекли Технические сбои - 1.</t>
  </si>
  <si>
    <t xml:space="preserve">Общее количество плановых релизов в проверяемом периоде : 6, из них повлекли Технические сбои 0. Обнаруженные в 4 п. 3 технических сбоя не являются релизными (инфраструктурные)</t>
  </si>
  <si>
    <t xml:space="preserve">Общее количество плановых релизов в проверяемом периоде : 5 , из них повлекли Технические сбои 0. Обнаруженные в 4 пункте 2 технических сбоя не является релизным (инфраструктурный)</t>
  </si>
  <si>
    <t xml:space="preserve">Общее количество плановых Релизов в проверяемом периоде 5 из них повлекли Технические сбои 1.</t>
  </si>
  <si>
    <t xml:space="preserve">Показатель качества не применим. Плановые релизы в проверяемом периоде отсутствуют. </t>
  </si>
  <si>
    <t xml:space="preserve">Общее количество Релизов в проверяемом периоде : 3 , из них повлекли Технические сбои 0 .</t>
  </si>
  <si>
    <t xml:space="preserve">Неприменимо для измерения Подхарактеристики Качества, т.к. система находилась в ОЭ. Плановых релизов в 2025 году не было.</t>
  </si>
  <si>
    <t xml:space="preserve">Показатель качества не применим. Релизы в проверяемом периоде отсутствуют.</t>
  </si>
  <si>
    <t xml:space="preserve">Общее количество Плановых функциональных релизов в проверяемом периоде: 1, из них 0 повлекли Технические сбой.</t>
  </si>
  <si>
    <t xml:space="preserve">Общее количество Релизов в проверяемом периоде : 3, из них повлекли Технические сбои 0</t>
  </si>
  <si>
    <t xml:space="preserve">Не возможно применить данное Требование. Общее количество Релизов за проверяемый период  0</t>
  </si>
  <si>
    <t xml:space="preserve">Подхарактеристика качества имеет низкий уровень так как за проверяемый период был 1 плановый релиз, который повлек за собой ТС</t>
  </si>
  <si>
    <t xml:space="preserve">Общее количество Релизов в проверяемом периоде : 3 , из них повлекли Технические сбои 0</t>
  </si>
  <si>
    <t xml:space="preserve">Общее количество плановых Релизов в проверяемом периоде : 3, из них повлекли Технические сбои - 3.</t>
  </si>
  <si>
    <t xml:space="preserve">Невозможно измерить метрику качества по причине отсутсвия плановых релизов на системе за проверяемый период</t>
  </si>
  <si>
    <t xml:space="preserve">Общее  количество Релизов в проверяемом периоде : 1 , из них повлекли Технические сбои: 0.</t>
  </si>
  <si>
    <t xml:space="preserve">Общее количество плановых функциональных релизов в проверяемом периоде: 2, из них повлекли Технические сбои 0</t>
  </si>
  <si>
    <t xml:space="preserve">Общее количество Релизов в проверяемом периоде: 4, из них повлекли Технические сбои 0</t>
  </si>
  <si>
    <t xml:space="preserve">Подхарактеристика качества имеет высокий уровень так как плановые релизы не вызвали ТС</t>
  </si>
  <si>
    <t xml:space="preserve">Подхарактеристика качества не применима так как за проверяемы период не было плановых релизов.</t>
  </si>
  <si>
    <t xml:space="preserve">Общее количество плановых Релизов в проверяемом периоде: 16, из них повлекли Технические сбои 4
1 ТС 3 Приоритета 
3 ТС 4 приоритета
(9694,9422,9292,9166)</t>
  </si>
  <si>
    <t xml:space="preserve">КОРРЕКТНОСТЬ  ПЛАНОВЫХ РЕЛИЗОВ</t>
  </si>
  <si>
    <t xml:space="preserve">Корректность плановых релизов имеет уровень выше среднего</t>
  </si>
  <si>
    <t xml:space="preserve">Мониторинг бизнес-метрик</t>
  </si>
  <si>
    <t xml:space="preserve">Невозможно измерить Подхарактеристику Качества по причине отсутствия мониторинга бизнес-метрик. Ведется работа по смене подхода к мониторингу бизнес-метрик. Планируется:  При анализе сбоев и наличия массовых проблем маршрут сопровождения должен быть: Сообщение системы мониторинга =&gt; Метрики =&gt; Определение проблемного места =&gt; Логи =&gt; Детальный анализ случившегося. Смена подхода позволит реагировать на проблемы до обращения пользователей и сократит время на поиск проблемных мест.</t>
  </si>
  <si>
    <t xml:space="preserve">Организован мониторинг Бизнес-метрик. На мониторинг поставлены следующие бизнес-метрики:
- Загрузка документов из хранилища
- СИАМ. Обновление данных по ЮЛ
- КК ОПК. Получение заявок и сделок
- ПСБ Персонал. Загрузка сотрудников
- ПСБ Персонал. Загрузка подразделений
- ПСБ Персонал. Обновление данных
Зафиксированного плана по постановке бизнес-метрик на мониторинг не было, поэтому невозможно оценить Подхарактеристику качества.</t>
  </si>
  <si>
    <t xml:space="preserve">Мониторинг Бизнес-Метрик   не организован., по причине отсутствия требований от бизнес-заказчика.</t>
  </si>
  <si>
    <t xml:space="preserve">Показатель Качества не подтвержден в виду отсутствия требований к Мониторингу.</t>
  </si>
  <si>
    <t xml:space="preserve">Мониторинг Бизнес-Метрик не организова</t>
  </si>
  <si>
    <t xml:space="preserve">Невозможно измерить Подхарактеристику Качества ввиду отсутствия описания ключевых процессов в ТЗ. </t>
  </si>
  <si>
    <t xml:space="preserve">Мониторинг Бизнес-Метрик не организован. Ключевые операции описаны в требованиям, но не поставлены на мониторинг. </t>
  </si>
  <si>
    <t xml:space="preserve">Состав тестовых, предпродуктивных и иных окружений не соответствует требованиям ВНД «Порядок работы с тестовыми и препродуктивными окружениями», а именно развернут только Test, вместо Test и Dev. Показатель качетв аповышен, так как ИС - коробочный продукт, и работы на дев-контуре не предусмотрены по информации от РП.
Необходимость дооснащения инфрастуктуры отсутствует  </t>
  </si>
  <si>
    <t xml:space="preserve">МОНИТОРИНГ БИЗНЕС-МЕТРИК</t>
  </si>
  <si>
    <t xml:space="preserve">Процесс "Мониторинг ИС" не релиазован в части фиксирования Требований к Мониторингу Бизнес-Метрик и контроля постановки на Мониторинг метрик по Требованиям</t>
  </si>
  <si>
    <t xml:space="preserve">Невозможно измерить Подхрарактеристику Качества ввиду непредоставления информации Исполнителем Администратором мониторинга  по причинам:
- отсутствия требований, 
- ссылок на задачи в СУЗ с описанием требований, 
- информации о реальном сост</t>
  </si>
  <si>
    <t xml:space="preserve">Организован мониторинг состояния бизнес-процессов при сопровождении ИС. Не подверждено артефактом задачи из Jira/alm на постановку мониторинга бизнес-операций. Имеется паспорт мониторига.</t>
  </si>
  <si>
    <t xml:space="preserve">Невозможно измерить Подхарактеристику Качества по причине отсутствия мониторинга бизнес-метрик. Задача на постановку бизнес-метрик времено приостановлена https://alm.headoffice.psbank.local/sd/operator/?anchor=#uuid:GMtask$55417092</t>
  </si>
  <si>
    <t xml:space="preserve">Показатель Качества не подтвержден дашбордом из системы мониторинга, ссылками на задачи в СУТ, определяющие требования к Мониторингу. Критичные бизнес-процессы на данный момент невозможно определить по причине отсутствия пользователей в продуктивной среде.</t>
  </si>
  <si>
    <t xml:space="preserve">Невозможно измерить Подхарактеристику Качества ввиду непредоставления информации Исполнителем Администратором мониторинга  по причине отсутствия информации, какие бизнес-метрики должны быть поставлены на мониторинг, отсутствие задач на поставновку в СУЗ, отсутствия известных дашбордов</t>
  </si>
  <si>
    <t xml:space="preserve">Невозможно измерить Подхарактеристику Качества ввиду непредоставления информации Исполнителем Администратором мониторинга  по причине отсутствия информации, какие бизнес-метрики должны быть поставлены на мониторинг, также отсутствие задач на поставновку в СУЗ и  отсутствия известных дашбордов</t>
  </si>
  <si>
    <t xml:space="preserve">Организован мониторинг Бизнес-метрик. На мониторинг поставлена бизнес-метрика ЕО
1. Создание заявок на счета ГОЗ за период
и бизнес-метрики, общие для проектов ЕО и КК:
2. Количество экземпляров ETL с ошибками за последний час 
3. Синхронизация с AD 
4. Нет новых записей в протоколах выполнения ETL 
5. Ночное обновление сотрудников из 1С ЗУП 
6. Ночное обновление подразделений из 1С ЗУП
7. Ночное обновление данных из 1С ЗУП
8. 1С. Загрузка подразделений (факт загрузки)
9. 1С. Загрузка сотрудников (факт загрузки)
10. 1С. Обновление данных (факт загрузки)
Запланированные метрики ведутся в КМС 
https://kms.headoffice.psbank.local/content/space/1279/wiki/714098 https://kms.headoffice.psbank.local/content/space/1279/wiki/499263
На мониторинг поставлены 10 бизнес-метрик из 12, что составляет 83,33% от необходимых, заявленных в Паспорте Мониторинга и/или в СУЗ в задачах на организацию Мониторинга.</t>
  </si>
  <si>
    <t xml:space="preserve">Организован Мониторинг Бизнес-Метрик . На мониторинг поставлены следующие бизнес-метрики:
1. Получение извещений
что составляет 100% от необходимых, заявленных в Паспорте Мониторинга и или в СУЗ в задачах на организацию Мониторинга</t>
  </si>
  <si>
    <t xml:space="preserve">Невозможно измерить Подхрарактеристику Качества ввиду непредоставления информации Исполнителем Администратором мониторинга.
"Нет определения бизнес операция в ТЗ или ЗНИ. Отсутвует список бизнес-операций. БТ от ДМ составлено и в данный момент проходит согласование с командой проекта и внесение изменений в ТЗ системным аналитиком".</t>
  </si>
  <si>
    <t xml:space="preserve">Организован Мониторинг Бизнес-Метрик . На мониторинг не поставлены бизнес-метрикичто, что составляет 0% от необходимых, заявленных в задачах СУЗ на организацию Мониторинга</t>
  </si>
  <si>
    <t xml:space="preserve">Невозможно измерить Подхрарактеристику Качества ввиду непредоставления информации Исполнителем Администратором мониторинга  по причине отсутствия паспорта мониторинга.</t>
  </si>
  <si>
    <t xml:space="preserve">Невозможно измерить Подхарактеристику Качества ввиду того, что для ПО АРМ "Финансового мониторинга" настроен только мониторинг серверов и БД. </t>
  </si>
  <si>
    <t xml:space="preserve">Организован Мониторинг Бизнес-Метрик . На мониторинг поставлены следующие бизнес-метрики 18, что составляет 100 % от необходимых, заявленных в Паспорте Мониторинга и или в СУЗ в задачах на организацию Мониторинга</t>
  </si>
  <si>
    <t xml:space="preserve">Невозможно измерить Подхрарактеристику Качества ввиду непредоставления информации Исполнителем Администратором мониторинга . И в виду отсутсвие информа</t>
  </si>
  <si>
    <t xml:space="preserve">Показатель Качества не подтвержден Паспортом Мониторинга, Дашбордом из Системы Мониторинга, Ссылками на задачи в СУТ определяющие требования к Мониторингу</t>
  </si>
  <si>
    <t xml:space="preserve">Невозможно измерить Подхрарактеристику Качества ввиду непредоставления информации Исполнителем Администратором мониторинга  по причинам:
- отсутствия требований, 
- ссылок на задачи в СУЗ с описанием требований, 
- информации о реальном состоянии мониторинга</t>
  </si>
  <si>
    <t xml:space="preserve">Согласовно паспорту мониторинга, на мониторинге стоят 65 бизнес-метрик. При этом только 23 бизнес-метрикам были  установлены на мониторинг в соответствии с процессом, описанном в Распоряжением 77-НШ 
Ни в одной из редакций ТЗ не упомянуты необходимые для мониторинга бизнес-метрики</t>
  </si>
  <si>
    <t xml:space="preserve">Мониторинг Бизнес-Метрик   не организован.</t>
  </si>
  <si>
    <t xml:space="preserve">Организован Мониторинг Бизнес-Метрик. На мониторинг поставлены следующие 12 бизнес-метрик - количество ошибок, процент ошибок, количество запросов по основным четырем БКИ (НБКИ, ОКБ, СБ, КБКИ), что составляет 100% от необходимых, заявленных в Паспорте Мониторинга. Задача(и), по которым эти метрики были поставлены на мониторинг не предоставлена(ы). </t>
  </si>
  <si>
    <t xml:space="preserve">Мониторинг Бизнес-Метрик   не организован</t>
  </si>
  <si>
    <t xml:space="preserve">Мониторинг Бизнес-Метрик не организован. В ТЗ отсутствуют требования к бизнес-метрикам. В паспорте мониторинга отсутствует страница с перечислением бизнес-метрик, поставленных на мониторинг</t>
  </si>
  <si>
    <t xml:space="preserve">На системе отсутсвуют требования к мониторингу бизнесс метрик. Согластно паспорту Мониторинг Бизнес-Метрик   не организован.</t>
  </si>
  <si>
    <t xml:space="preserve">Подхарактиристика качества имеет низкий уровень так как на мониторинге отсутсвуют бизнес-метрики</t>
  </si>
  <si>
    <t xml:space="preserve">Невозможно измерить Подхрарактеристику Качества ввиду отсутсвия требований к постановлению на мониторинг</t>
  </si>
  <si>
    <t>16%</t>
  </si>
  <si>
    <t xml:space="preserve">- отсутствия требований, 
- ссылок на задачи в СУЗ с описанием требований, 
- информации о реальном состоянии Монмиоринга</t>
  </si>
  <si>
    <t xml:space="preserve">Мониторинг серверов</t>
  </si>
  <si>
    <t xml:space="preserve">Согласно Паспорту Мониторинга на мониторинг поставлено 39 серверов, что составляет 100% от необходимого количества</t>
  </si>
  <si>
    <t xml:space="preserve">Согласно Паспорту Мониторинга на мониторинг поставлено 20 серверов (выгрузили данные в паспорт только по продуктивному контуру). 
По информации от МТС на мониторинг поставлены все сервера других контуров:
DEV - 6 хостов 
TEST - 10 хостов 
LT - 15 хостов 
PREPROD - 12 хостов 
PROD - 18 хостов+2 виртуальных имени
В Архитектурной Схеме - 63 сервера. Таким образом на мониторинг поставлены 63 сервера, что составляет 100% от необходимого.</t>
  </si>
  <si>
    <t xml:space="preserve">Согласно Паспорту Мониторинга и Архитектурной Схеме на мониторинг поставлено 33 сервера, что составляет 33% от необходимых - 99 серверов. По 67% серверов не найдены задачи на постановку на мониоринг.</t>
  </si>
  <si>
    <t xml:space="preserve">Согласно Паспорту Мониторинга и Архитектурной Схеме на мониторинг поставлено 13 серверов, что составляет 93% от необходимого.</t>
  </si>
  <si>
    <t xml:space="preserve">Согласно Паспорту Мониторинга и Архитектурной Схеме на мониторинг поставлено 22 сервера, что составляет 100% от необходимого.</t>
  </si>
  <si>
    <t xml:space="preserve">28 % серверов  (2 из 7) подтвержденно поставлены на мониторинг, что соответствует уровню ниже среднего. Согласно паспорту мониторинга поставлены на мониторинг все 7 серверов прод. Задачи на постановку найдены для 2 серверов: https://alm.headoffice.psbank.local/sd/operator/#uuid:GMtask$21386137
Дашборд https://glbr-grf.headoffice.psbank.local/d/2xfWmRRHk/greendata-profsu?orgId=1&amp;from=now-6h&amp;to=now&amp;timezone=browser&amp;var-Group=IT-Systems%2FЕдиный%20блок%20Профсуждений&amp;var-Host=$__all&amp;var-executor=$__all&amp;var-DB=$__all&amp;var-Redis=$__all&amp;var-BL=$__all&amp;refresh=30s</t>
  </si>
  <si>
    <t xml:space="preserve">44 из 50 серверов, то есть 88 % серверов указаны в паспорте мониторинга поставлены на мониторинг, что соответствует высокому уровню. 
Дашборд отсутствует
Показатель каества понижен по причине отсутствия ссылок на задачи постановки на мониторинг; также отсутствует дашборд.
В паспорте мониторинга отсутствуют серверы:
PSBID-TS1 172.23.150.37
PSBID-TS2 172.23.150.38
PSBID-MON1 172.23.147.132
PSBID-MON2 172.23.147.133
PSBID-TL2 172.23.147.135
PSBID-TL3 172.23.147.136
Кроме того IP-адреса в паспорте моиторинга разнятся с данными на арх.схеме для серверов:
psbid-trc1.headoffice.psbank.local
psbid-trc2.headoffice.psbank.local
А также IP-адресав паспорте поменяны местами для серверов:
psbid-asg2.dmz.local
psbid-asg1.dmz.local</t>
  </si>
  <si>
    <t xml:space="preserve">Согласно Паспорту Мониторинга и Архитектурной Схеме на мониторинг поставлено 6 серверов PROD, 6 серверов DEV и 8 серверов TEST, что составляет 100% от необходимого (всего 20)</t>
  </si>
  <si>
    <t xml:space="preserve">100 % серверов подтвержденно поставлены на мониторинг, что соответствует высокому уровню:
https://jira.psbnk.msk.ru/browse/MONITOR-10816 
1) lgnm-app1 172.23.14.206
2) lgnm-db1 172.23.14.207;
https://alm.headoffice.psbank.local/sd/operator/#uuid:GMtask$12511665:
3) LGNM-DB2 - 172.23.14.202
MONITOR-108158 Постановка на мониторинг дополнительных метрик и добавление сотрудников в список оповещения в системе Loginom
Дашборд https://glbr-grf.headoffice.psbank.local/d/yqb2DzHNk/is-loginom?orgId=1&amp;from=now-6h&amp;to=now&amp;timezone=browser</t>
  </si>
  <si>
    <t xml:space="preserve">МОНИТОРИНГ СЕРВЕРОВ</t>
  </si>
  <si>
    <t xml:space="preserve">Системно все сервера ставятся на мониторинг.</t>
  </si>
  <si>
    <t xml:space="preserve">2 Промышленная Эксплуатация</t>
  </si>
  <si>
    <t xml:space="preserve">Невозможно измерить Подхарактеристику Качества ввиду не предоставления информации Исполнителем  (Администратором  Отдела Систем Мониторинга) по причинам:
- отсутствия требований, 
- ссылок на задачи в СУЗ с описанием требований</t>
  </si>
  <si>
    <t xml:space="preserve">Согласно Паспорту Мониторинга на мониторинг поставлено 33 сервера, что составляет 100% от необходимого количества</t>
  </si>
  <si>
    <t xml:space="preserve">Согласно Паспорту Мониторинга на мониторинг поставлено 48 серверов, что составляет 100 % от необходимого</t>
  </si>
  <si>
    <t xml:space="preserve">Согласно Паспорту Мониторинга и Архитектурной Схеме на мониторинг поставлено 81 сервер, что составляет 100% от необходимого.</t>
  </si>
  <si>
    <t xml:space="preserve">Невозможно измерить Подхарактеристику Качества . Показатель Качества не подтвержден Артефактами:  ссылкой на  Дашборд из Системы Мониторинга, ссылками на задачи в СУЗ, на основании которых был выполнен «Мониторинг Серверов»</t>
  </si>
  <si>
    <t xml:space="preserve">Согласно Паспорту Мониторинга на мониторинг поставлено 27 серверов PROD контура.
По информации от МТС на мониторинг поставлены сервера других контуров:
TST1 - 11 хостов 
TST3 - 2 хоста
LT - 23 хоста
PREPROD - 15 хостов 
Хосты контура DEV не поставлены на мониторинг (5 хостов)
В Архитектурной Схеме - 83 сервера. Таким образом на мониторинг поставлены 78 серверов, что составляет 94% от общего количества.</t>
  </si>
  <si>
    <t xml:space="preserve">Согласно Паспорту Мониторинга и Архитектурной Схеме на мониторинг поставлено 2 сервера, что составляет 100% от необходимого</t>
  </si>
  <si>
    <t xml:space="preserve">Согласно Паспорту Мониторинга на мониторинг поставлено 30 серверов, что составляет 100% от необходимого.
На прод контуре в системе 30 серверов. </t>
  </si>
  <si>
    <t xml:space="preserve">Согласно Паспорту Мониторинга и Архитектурной Схеме на мониторинг поставлено 13 серверов, что составляет 81% от необходимого</t>
  </si>
  <si>
    <t xml:space="preserve">Невозможно измерить Подхарактеристику Качества ввиду  непредоставления информации Исполнителем (Администратором Отдела Систем Мониторинга) по причине отсутствия информации, какие сервера должны быть поставлены на мониторинг. Показатель Качества не подтвержден Артефактом:  ссылкой на  Дашборд из Системы Мониторинга.</t>
  </si>
  <si>
    <t xml:space="preserve">Согласно Паспорту Мониторинга и Архитектурной Схеме на мониторинг поставлено 72 количество серверов, что составляет 240% от необходимого</t>
  </si>
  <si>
    <t xml:space="preserve">Невозможно измерить Подхрарактеристику Качества ввиду непредоставления информации Исполнителем Администратором мониторинга </t>
  </si>
  <si>
    <t xml:space="preserve">Показатель Качества не подтвержден Артефактами:  ссылкой на  Дашборд из Системы Мониторинга, Паспортом Мониторинга, Архитектурной схемой, ссылками на задачи в СУЗ, на основании которых был выполнен «Мониторинг Серверов»</t>
  </si>
  <si>
    <t xml:space="preserve">Согласно Паспорту Мониторинга и Архитектурной Схеме на мониторинг поставлено 28 серверов, что составляет 100% от необходимого, при этом постановление на мониторинг выполнено без учета процесса, описанном в Распоряжение "Об установлении требований к организации мониторинга информационных систем и элементов ИТ-инфраструктуры" ПАО Промсвязьбанк (от 15.08.2023 №77-НШ) - задачи в СУЗ не предоставлены</t>
  </si>
  <si>
    <t xml:space="preserve">Согласно Паспорту Мониторинга и Архитектурной Схеме на мониторинг поставлено 18 серверов, что составляет 100% от необходимого</t>
  </si>
  <si>
    <t xml:space="preserve">Согласно Паспорту Мониторинга и Архитектурной Схеме на мониторинг поставлено 7 количество серверов, что составляет 100% от необходимого
Тем не менее, в паспорте мониторинга отсутсвуют упоминания задач, на основании которых элементры инфраструктуры были поставлены на мониторинг</t>
  </si>
  <si>
    <t xml:space="preserve">Подхарактеристика качества соответсвует. Соглстно Пасопрту мониторинга , на мониторинг поставлено все сервера , которые прописаны в  требованиях из задачи на постановку на помниторинг.</t>
  </si>
  <si>
    <t xml:space="preserve">Подхарактеристика качества соответсвует. На мониторинг поставлены все сервера из поставленных задач.</t>
  </si>
  <si>
    <t xml:space="preserve">Средний уровень фиксируется как правило ввиду того, что недостаточно информации для получения вывода о постановке серверов на мониторинг. (нет задач на поставновку на мониторинг, что бы проверить паспорт мониторинга, нет дашбордов, что бы проверить что все сервера поставлены на мониторинг)</t>
  </si>
  <si>
    <t xml:space="preserve">Общее количество Тест-Кейсов в регрессионной модели 3094, из них автоматизировано 1883, что составляет 61% автоматизации Регрессионной Модели. Регрессионная модель находится в стадии оптимизации.</t>
  </si>
  <si>
    <t xml:space="preserve">Общее количество Тест-Кейсов в регрессионной модели - 215, из них автоматизировано - 35, что составляет 16,3% автоматизации Регрессионной Модели.</t>
  </si>
  <si>
    <t xml:space="preserve">Невозможно измерить Подхарактеристику качества. Не предоставлены данные о наличии Регрессионной модели, о количестве  автоматизированных тест-кейсов  ввиду отсутствия  профильного ресурса тестирования.</t>
  </si>
  <si>
    <t xml:space="preserve">Общее количество Тест-Кейсов в регрессионной модели 616 из них автоматизировано 133, что составляет 22% автоматизации Регрессионной Модели.</t>
  </si>
  <si>
    <t xml:space="preserve">На проект 100799 ресурс ТА не закладывался https://jira.psbnk.msk.ru/browse/SPPI-16255. На ИС отсутствует выделенный ресурс тест-аналитика.  Ресурс АТ не заложен https://jira.psbnk.msk.ru/browse/SPPI-16217. АТ регрессионной модели не производится. Регр. модель  https://tsit-app1/projects/1027175/tests?isolatedSection=2c653432-079c-4be3-a518-92b6da979695.
По информации от тестировщиков на ИС много сложных алгоритмов вычислений по методикам Центрального Банка, которые периодически меняются. Поэтому разработка и актуализация авто-тестовбудет более трубоемкая и дороже и 
Как будто трудоемкость разработки и актуализации автотестов будет сложнее и дороже, чем профит от них</t>
  </si>
  <si>
    <t xml:space="preserve">Общее количество Тест-Кейсов в регрессионной модели 138, из них автоматизировано 0, что составляет 0% автоматизации Регрессионной Модели. 
Ссылка в Test IT на Регрессионную модель - https://tsit-app1/projects/1280345/tests
В команде временно отсутствует Автотестировщик. Точных сроков подключения специалиста нет.</t>
  </si>
  <si>
    <t xml:space="preserve">На проект 100565 заложен ресурс ТА нhttps://jira.psbnk.msk.ru/browse/SPPI-10436.
На ИС отсутствует выделенный ресурс тест-аналитика.  
АТ регрессионной модели не производится. 
Регр. модель на дату окончания рассматриваемого периода содержит 4 кейса:  https://tsit-app1/projects/1332839/tests?isolatedSection=47d1cf6f-3b57-4498-94cf-1177cd7b3c18</t>
  </si>
  <si>
    <t>ТЕСТИРУЕМОСТЬ</t>
  </si>
  <si>
    <t xml:space="preserve">АВТОМАТИЗАЦИЯ РЕГРЕССИОННОЙ МОДЕЛИ</t>
  </si>
  <si>
    <t xml:space="preserve">Низкий уровень автоматизации регрессионный модели фиксируется из-за недостатка ресурса автотестировщиков, а также низкой стандартизации процесса передачи тест-кейсов на автоматизацию.</t>
  </si>
  <si>
    <t xml:space="preserve">1 Промышленная эксплуатация</t>
  </si>
  <si>
    <t xml:space="preserve">Общее количество Тест-Кейсов в регрессионной модели 8445, из них автоматизировано 4021, что составляет 47% автоматизации Регрессионной Модели. Средний уровень  в связи с ограниченными ресурсами в условиях большого объема, сокращением сотрудников автоматизации на 57%,  частыми релизами, где требуется проведение регресса АТ и разбор результатов АТ, а также поддержка и изменение текущих автотестов  </t>
  </si>
  <si>
    <t xml:space="preserve">Общее количество Тест-Кейсов в регрессионной модели 1044, из них автоматизировано 538, что составляет 51% автоматизации Регрессионной Модели.
Причины:
Низкий показатель обусловлен комплексом факторов:
1. Наследство и техдолг- проект был передан мне в состоянии, требующим значительного рефакторинга. Автоматизация многих кейсов была тех невозможна без предварительного улучшения кодовой базы; а в случаях, где автоматизация была технически возможна, попытка автоматизации заняла бы несоизмеримо больше времени из-за отсутствия общих шагов и в целом ужасно написанного кода и его плохой тестируемости. Рефакторинг был необходимой инвестицией для последующей эффективной работы - часть ранее написанных автотестов (легаси) были написаны с низким качеством с нарушением базовых практик написания кода, что приводило к флакированию и фиктивным результатам выполнения. Эти тесты пришлось переписывать.2. Ограничения и некорректные данные- многие тест-кейсы не подходят для автоматизации по некоторым причинам (работа с БД, FTP, манипуляции с конфигами). Подобные тесты требуют вмешательство ФТ, а концепция АТ подразумевает отсутствие вмешательство ФТ непосредственно в процесс прогона. Были и кейсы на проверку бэкенда: моя роль - автоматизация работы с UI и API для облегчения выполнения шагов или подготовки данных, а не валидация внутренней логики серверной части.- в TMS часть кейсов из регрессионной модели были ошибочно помечены как "требуют автоматизации" (неактуальные статусы), что искажало метрики.3. Процессы и ресурсы- более месяца на проекте не было ручного тестировщика, фокус смещался на делегирование работы ФТ аналитику и погружение его в суть работы.- плотный график регрессов не оставлял окон для разработки автотестов- процесс ближе к гибридной модели (канбан с элементами вотерфолла): есть график релизов, который часто дополняется срочными релизами, что в свою очередь сужает и без того узкое окно для написания автотестовВ рамках решения обозначенных проблем была проведена следующая работа:1. Рефакторинг и создание инфраструктуры: Проведено улучшение кодовой базы и написаны детерминированные общие шаги на базе SpecFlow. Это позволило перевести процесс создания автотестов на модульный принцип, что значительно ускоряет разработку и повышает стабильность новых автотестов.2. Актуализация тестовой модели: Совместно с ФТ проведен аудит, в результате чего количество кейсов, помеченных ошибочным статусов "Требует автоматизации" было сокращено примерно на 150 единиц.3. Разработка новых автотестов: Написаны и внедрены стабильные автотесты.</t>
  </si>
  <si>
    <t xml:space="preserve">Общее количество Тест-Кейсов в регрессионной модели 200, из них автоматизировано 133, что составляет 67% автоматизации Регрессионной Модели. На данный момент автоматизирован весь критичный функционал (ТК находящиеся в самом высоком и высоком приоритетах). Отсутствует выделенный специалист АТ.</t>
  </si>
  <si>
    <t xml:space="preserve">Общее количество Тест-Кейсов в регрессионной модели 8602, из них автоматизировано 2176 , что составляет 25% автоматизации Регрессионной Модели. Уровень подхарактеристики ниже среднего и связан с  ограниченными ресурсами в условиях большого объема, а также с секвестированием бюджета проекта и сокращением человеческих ресурсов АТ (фактически работает 1 ШЕ АТ на проекте). Кроме того был сокращен ресурс ТА, который занимался поддержкой и изменением текущих автотестов в регрессионной модели.</t>
  </si>
  <si>
    <t xml:space="preserve">Не возможно измерить Подхарактеристику качества ввиду отсутствия достаточного пакета документов для формирования регрессионной модели.</t>
  </si>
  <si>
    <t xml:space="preserve">Невозможно измерить Подхарактеристику качества. Не предоставлены данные о наличии Регрессионной модели, о количестве  автоматизированных тест-кейсов  ввиду отсутствия  профильного ресурса</t>
  </si>
  <si>
    <t xml:space="preserve">Общее количество Тест-Кейсов в регрессионной модели - 156, из них автоматизировано - 40, что составляет 25,6% автоматизации Регрессионной Модели. 
С августа 2025 автоматизация на проекте отстановлена в пользу целевого проекта CRM ОПК, куда планировался переезд функционала ИЗ "Единое окно ОПК". Поддержка уже написанных автотестов продолжается.</t>
  </si>
  <si>
    <t xml:space="preserve">Общее количество Тест-Кейсов в регрессионной модели 2, из них автоматизировано 0, что составляет  0% автоматизации Регрессионной Модели. 
На ИС нет необходимости автоматизировать регресс. поскольку регрессиоая модель сосоит всего из 2-х ТК и имеется ресурс ручного тестирования, которого хвататет на текущий момент.</t>
  </si>
  <si>
    <t xml:space="preserve">Общее количество Тест-Кейсов в регрессионной модели 70, из них автоматизировано 0, что составляет 0% автоматизации Регрессионной Модели. 
Работы по автоматизированному тестированию запланированы на 2 квартал 2026 года</t>
  </si>
  <si>
    <t xml:space="preserve">Не возможно измерить Подхарактеристику качества. Не предоставлены данные о наличии Регрессионной модели, о количестве  автоматизированных тест-кейсов  ввиду отсутствия  профильного ресурса</t>
  </si>
  <si>
    <t xml:space="preserve">Не возможно измерить Подхарактеристику качества. Не предоставлены данные о наличии Регрессионной модели, о количестве  автоматизированных тест-кейсов  ввиду отсутствия ресурса  Исполнителя (Тест-Аналитика)</t>
  </si>
  <si>
    <t xml:space="preserve">На системе отсутсвет автоматизированное тестирование.</t>
  </si>
  <si>
    <t xml:space="preserve">Общее количество Тест-Кейсов в регрессионной модели 1234. Автоматизировано 342 - это 28%. Уровень автоматизации ниже среднего связан с решением прекратить автоматизацию новых кейсов регресса монолита летом 2024 года в связи с переходом на микросервисы. Поэтому эта цифра может измениться только в меньшую сторону в связи с ростом общей регрессионной модели</t>
  </si>
  <si>
    <t xml:space="preserve">Общее количество Тест-Кейсов в регрессионной модели 9429, из них автоматизировано 830, что составляет 8% автоматизации Регрессионной Модели. </t>
  </si>
  <si>
    <t xml:space="preserve">Не возможно измерить Подхарактеристику качества. Не предоставленны данные о количестве интеграционных тест-кейсов и возможности автономного их выполнения, ввиду отсутствия профильного ресурса</t>
  </si>
  <si>
    <t xml:space="preserve">Невозможно измерить Подхарактеристику качества. Не предоставлены данные о наличии Регрессионной модели, о количестве  автоматизированных тест-кейсов  ввиду отсутствия профильного ресурса тест-аналитика</t>
  </si>
  <si>
    <t xml:space="preserve">Общее количество Тест-Кейсов в регрессионной модели 537, из них автоматизировано 462 что составляет 86% автоматизации Регрессионной Модели</t>
  </si>
  <si>
    <t xml:space="preserve">Невозможно измерить Подхарактеристику качества. Не предоставлены данные о наличии Регрессионной модели, о количестве  автоматизированных тест-кейсов ввиду отсутствия профильного ресурса тест-аналитика</t>
  </si>
  <si>
    <t xml:space="preserve">На системе нет автоматизации регрессионой модели так как нет профильных специалистом по автоматизации</t>
  </si>
  <si>
    <t xml:space="preserve">Оценка подхарактиристики качества низкий, в виду того что на проекте отсутсвует автоматизация.</t>
  </si>
  <si>
    <t xml:space="preserve">Общее количество Тест-Кейсов по ИС "ПСБ Бизнес" в разрезе компонентов в регрессионной модели 6593, из них автоматизировано 2406, что в среднем составляет 20% автоматизации от общего числа кейсов регресс модели. 
Зафиксирован средний уроовень по компонентам:  
- «Интернет-Банк» 
- «PSBOnline» 
- «Личный кабинет торгового эквайринга» 
Уровнь ниже среднего или низкий уровень (АТ отсутствует) по компонентам: 
- «Панель администрирования»  
- «КриптоПро коннектор»  
- «Сервис прямого документооборота между PSB On-line и 1С»  
- «Моя Бухгалтерия 1С»  
- «Лэндинг пейдж "Без бумаг"»  
- «Личный кабинет потенциального клиента» 
Низкий уровень АТ вызван ограниченными ресурсами в условиях большого объема кейсов, частой интенсивностью релизов, соответственно разбором результатов запусков и актуализацией текущих автотестов. </t>
  </si>
  <si>
    <t xml:space="preserve">Низкий уровень показателя фиксируется ввиду: отсутствия ресурсов АТестировщика, а также не стандартизированного процесса передачит Кейсов от ФТестировщиков АТестировщикам</t>
  </si>
  <si>
    <t xml:space="preserve">Автономность тестирования</t>
  </si>
  <si>
    <t xml:space="preserve">Общее количество  интеграционных тест-кейсов 1037, из них тест-кейсов которые можно провести с помощью заглушек 936, что составляет 90% </t>
  </si>
  <si>
    <t xml:space="preserve">Общее количество  интеграционных Тест-Кейсов - 75 шт. Из них могут выполнены автономно - 0 шт., что составляет 0% от общего числа интеграционных тест-кейсов.
Интеграционныхе тест-кейсы невозможно выполнить автономно, т.к. Система "CRM ОПК" использует входные данные из других систем через интеграции. Загрушки/эмуляторы неприменимы.</t>
  </si>
  <si>
    <t xml:space="preserve">Невоможно измерить</t>
  </si>
  <si>
    <t xml:space="preserve">Невозможно измерить Подхарактеристику качества. Не предоставленны данные о количестве интеграционных тест-кейсов и возможности автономного их выполнения, ввиду отсутствия профильного ресурса тестирования.</t>
  </si>
  <si>
    <t xml:space="preserve">Общее количество  интеграционных Тест-Кейсов 16 шт. Из них могут выполнены автономно 0 шт. , что составляет 0 % от общего числа интеграционных тест-кейсов</t>
  </si>
  <si>
    <t xml:space="preserve">На проект 100799 ресурс ТА не закладывался https://jira.psbnk.msk.ru/browse/SPPI-16255. На ИС отсутствует выделенный ресурс тест-аналитика. Невозможно измерить Подхарактеристику Качества ввиду отсутствия тест-кейсов на заглушках. По информации от тестировщика тестирование интеграций производится без заглушек.</t>
  </si>
  <si>
    <t xml:space="preserve">Уровень автономности тестирования составляет 100%, что соответствует высокому уровню. Все интеграционные кейсы могут быть проверены на заглушках. </t>
  </si>
  <si>
    <t xml:space="preserve">Общее количество интеграционных Тест-Кейсов 43 шт. Из них могут быть выполнены автономно 38 шт., что составляет 88 % от общего числа интеграционных тест-кейсов</t>
  </si>
  <si>
    <t xml:space="preserve">На проект 100565 заложен ресурс ТА нhttps://jira.psbnk.msk.ru/browse/SPPI-10436.
На ИС отсутствует выделенный ресурс тест-аналитика. Невозможно измерить Подхарактеристику Качества ввиду отсутствия тест-кейсов на заглушках. По информации от РП тестирование интеграций производится без заглушек.</t>
  </si>
  <si>
    <t xml:space="preserve">АВТОНОМНОСТЬ ТЕСТИРОВАНИЯ</t>
  </si>
  <si>
    <t xml:space="preserve">В банке нет требований к организации автономности тестирования.</t>
  </si>
  <si>
    <t xml:space="preserve">Невозможно измерить Подхарактеристику Качества ввиду не предоставления информации профильным ресурсом  по причине отсутствия информации о кол-ве интеграционных тестов и тестов с использованием "заглушек/эмуляторов", тесты не промаркированы</t>
  </si>
  <si>
    <t xml:space="preserve">Общее количество  интеграционных Тест-Кейсов 13 шт. Из них могут выполнены автономно 13 шт. , что составляет 100% от общего числа интеграционных тест-кейсов</t>
  </si>
  <si>
    <t xml:space="preserve">Общее количество  интеграционных тест-кейсов 70, из них тест-кейсов которые можно провести с помощью заглушек 14, что составляет 20% </t>
  </si>
  <si>
    <t xml:space="preserve">Общее количество  интеграционных Тест-Кейсов 70 шт. Из них могут выполнены автономно 0 шт. , что составляет 0% от общего числа интеграционных тест-кейсов.
Требуется разработка заглушек с НА и СМ ГОЗ, мощность есть (ВМ), но нет человеческих ресурсов для реализации заглушек по причине общебанковской оптимизации и секвестировния бюджета (сокра</t>
  </si>
  <si>
    <t xml:space="preserve">Не возможно измерить Подхарактеристику качества ввиду отсутствия достаточного пакета документов и интеграций на тестовом контуре.</t>
  </si>
  <si>
    <t xml:space="preserve">Невозможно измерить Подхарактеристику качества. Не предоставленны данные о количестве интеграционных тест-кейсов и возможности автономного их выполнения, ввиду отсутствия профильного ресурса</t>
  </si>
  <si>
    <t xml:space="preserve">Общее количество  интеграционных Тест-Кейсов - 91 шт. Из них могут выполнены автономно - 0 шт., что составляет 0% от общего числа интеграционных тест-кейсов.
Интеграционные тест-кейсы невозможно выполнить автономно, т.к. Система "ИЗ Единое окно ОПК" использует входные данные из других систем через интеграции. Загрушки/эмуляторы неприменимы.</t>
  </si>
  <si>
    <t xml:space="preserve">Общее количество  интеграционных Тест-Кейсов 10 шт. Из них могут выполнены автономно 0 шт. , что составляет 0 % от общего числа интеграционных тест-кейсов</t>
  </si>
  <si>
    <t xml:space="preserve">Общее количество интеграционных Тест-Кейсов 58, из них можно проверить с помощью заглушки 0, что составляет 0% от общего количества.</t>
  </si>
  <si>
    <t xml:space="preserve">Не возможно измерить Подхарактеристику качества ввиду отсутствия достаточного пакета документов и артефактов реализации интеграций  со смежными системами на тестовом контуре.</t>
  </si>
  <si>
    <t xml:space="preserve">Не возможно измерить Подхарактеристику качества. Не предоставленны данные о количестве интеграционных тест-кейсов и возможности автономного их выполнения ввиду отсутствия ресурса Исполнителя (Тест-Аналитика)</t>
  </si>
  <si>
    <t xml:space="preserve">Общее количество интеграционных Тест-Кейсов 185шт. Из них могут выполнены автономно 0шт., что составляет 0% от общего числа интеграционных тест-кейсов</t>
  </si>
  <si>
    <t xml:space="preserve">Невозможно измерить Подхарактеристику качества. Не предоставленны данные о количестве интеграционных тест-кейсов и возможности автономного их выполнения, ввиду отсутствия профильного ресурса тест-аналитика</t>
  </si>
  <si>
    <t xml:space="preserve">Невозможно измерить Подхарактеристику Качества в виду отсутствияя разметки по интеграци</t>
  </si>
  <si>
    <t xml:space="preserve">Нет требований к автономности тестирования </t>
  </si>
  <si>
    <t xml:space="preserve">Полнота видов Тестирования</t>
  </si>
  <si>
    <t xml:space="preserve">Необходимо выполнять 6 видов тестирования, фактически выполняется 7 видов тестирования.
В соответствии с Положением о видах тестирования требуется проводить следующие виды тестирования:
1.Функциональное
2.Удобства использования
3.Регрессионное
4.Интеграционное
5.Приемочное
6.Автоматизированное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1.Функциональное
2.Удобства использования
3.Smoke
4.Регрессионное
5.Интеграционное
6.Приемочное
7.Автоматизированное
Фактически выполняются следующие виды тестирования:
1.Функциональное
2.Smoke
3.Регрессионное
4.Интеграционное
5.Приемочное
6.Автоматизированное
7. Удобство использования</t>
  </si>
  <si>
    <t xml:space="preserve">Необходимо выполнять 9 видов тестирования, фактически выполняется 9 видов тестирования. 
В соответствии с Положением о видах тестирования требуется проводить следующие виды тестирования:
1. Функциональное
2. Smoke тесты
3. Интеграционнное
4. Регрессионное
5. Приемочное 
6. Тестирование безопасности
7. Удобства использования (в ходе ФТ)
8. Нагрузочное
9. Автоматизированное
Методика тестирования в процессе разработки https://kms.headoffice.psbank.local/content/space/1991/wiki/569430</t>
  </si>
  <si>
    <t xml:space="preserve">Необходимо выполнять  8  видов тестирования, фактически выполняется 1 вид тестирования.В соответствии с Положением о видах тестирования требуется проводить следующие виды тестирования:
1. Функциональное тестирование  - требуется, возможно подключение непрофильного подразделения
2. Тестирование удобства использования - требуется в части критичного функционала 
3. Регрессионное тестирование - требуется в части критичного функционала
4. Нагрузочное тестирование - опционально
5. Smoke - тесты - опционально
6. Интеграционное тестирование - требуется
7. Приемочное тестирование - требуется
8. Тестирование безопасности - требуется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 Функциональное тестирование 
2. Тестирование удобства использования 
3. Регрессионное тестирование
4  Нагрузочное тестирование
5. Smoke - тесты
6. Интеграционное тестирование
7. Приемочное тестирование
8. Тестирование безопасности 
Фактически выполняются следующие виды тестирования:
Тестирование безопасности - артефакты прикладываются к IBTASK
Функциональное - нет артефактов тестирования в СУТ.
Приемочное - нет артефактов в СУТ.</t>
  </si>
  <si>
    <t xml:space="preserve">В соответствии с Положением о видах тестирования требуется проводить следующие виды тестирования:
1.Нагрузочное тестирование
2.Функциональное тестирование
3.Регрессионное тестирование
4.Интеграционное тестирование
5.ПТ (приемочное)
6.Тестирование удобства использования
7. Тестирование безопасности и контроля доступа
8. Smoke тесты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 Функциональное тестирование
2. Интеграционное тестирование
3. Регрессионное тестирование 
4. Нагрузочное тестирование 
5. Приёмочное тестирование  заказчиком
Фактически выполняются все виды виды тестирования:
1.Функциональное тестирование
2.Регрессионное тестирование
3.Интеграционное тестирование</t>
  </si>
  <si>
    <t xml:space="preserve">Необходимо выполнять 8 видов тестирования, фактически выполняется 3 вида тестирования.
В соответствии с Положением о видах тестирования требуется проводить следующие виды тестирования:
Функциональное, Интеграционное, 
Нагрузочное, Регрессионное,
Приемочное, SMOKE, UX/UI,
Пользовательское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Функциональное, Интеграционное,
Нагрузочное, Регрессионное,
Приемочное, SMOKE, UX/UI,
Пользовательское
Фактически выполняются следующие виды тестирования:
- Функциональное
- Интеграционное
- Пользовательское</t>
  </si>
  <si>
    <t xml:space="preserve">Полнота видов тестирования составляет 60%, что соответствует среднему уровню. Согласно "Положению о видах тестирования" для системы класса критичности BО, этапа ЖЦ ОЭ и способа разработки ИС - "Внешняя кастомизация по заказу банка на условиях разработки по формулируемым банком требованиям" требуется проводить следующие виды тестирования:
1. Функциональное тестирование (требуется, возможно подключение непрофильного подразделения);
2. Тестирование удобства пользования (требуется в части критичного функционала);
3. Регрессионное тестирование (требуется в части критичного функционала);
4. Интеграционное тестирование (требуется);
5. Приемочное тестирование (требуется).
Фактически в 4 квартале 2025 выполнялись 3 вида тестирования по обеим ИС:
1. Функциональное тестирование (https://tsit-app1/projects/1027175/test-plans/3686227/report; https://tsit-app1/projects/1027175/test-plans/3798215/report);
2. Регресс (https://tsit-app1/projects/1027175/test-plans/3797521/report)
3. UI - скрытые проверки в составе ФТ.</t>
  </si>
  <si>
    <t xml:space="preserve">Полнота видов тестирования составляет 14%, что соответствует низкому уровню. Согласно "Положению о видах тестирования" для системы класса критичности Business Critical, этапа ЖЦ ОЭ, способа разработки ИС - "Внешняя кастомизация по заказу банка на условиях разработки по формулируемым банком требованиям", двухстронней интеграции требуется проводить следующие виды тестирования по ВНД 19-74-01:
1. Функциональное тестирование;
2. Тестирование удобства использования (Требуется в части
критичного функционала);
3. Регрессионное (требуется) ;
4. Нагрузочное тестирование (Требуется, возможно со стороны вендора);
5. Smoke тесты (Требуется в части критичного функционала);
6. Интеграционное тестирование:
https://tsit-app1/projects/1280345/test-plans/3643657/results
https://tsit-app1/projects/1280345/test-plans/3818061/report
7. Приемочное тестирование.
Необходимо выполнять 7 видов тестирования, фактически в рассматриваемый период выполняся 1 вид тестирования: ИТ </t>
  </si>
  <si>
    <t xml:space="preserve">Необходимо выполнять 9 видов тестирования, из них 2 не применяются (итого  7), фактически выполняется 6 видов тестирования.
В соответствии с Положением о видах тестирования требуется проводить следующие виды тестирования:
1. Функциональное
2. Тестирование удобства использования
3. Интеграционнное
4. Регрессионное
5. Нагрузочное (опционально)
6. Автоматизированное (на данном этапе ЖЦ не требуется)
7. Приемочное
8. Тестирование безопасности и контроля доступа
9. Сквозное тестирование (e2e)
Фактически выполняются следующие виды тестирования:
1. Функциональное
2. Тестирование удобства использования (в ходе ФТ)
3. Интеграционнное
4. Регрессионное
5. Тестирование безопасности и контроля доступа
6. Сквозное тестирование (e2e) (выполнено между СЭР и Росреестром)</t>
  </si>
  <si>
    <t xml:space="preserve">Полнота видов тестирования составляет 20%, что соответствует среднему уровню. Согласно "Положению о видах тестирования" для системы класса критичности BО, этапа ЖЦ ОЭ и способа разработки ИС - "Коробочный продукт", одностронняя интеграция  требуется проводить следующие виды тестирования:
1. Функциональное тестирование (опционально);
2. Тестирование удобства пользования (опционально);
3. Регрессионное тестирование (опционально);
4. Интеграционное тестирование (требуется, возможно подключение непрофильного подразделения);
5. Приемочное тестирование (требуется).
Фактически в 4 квартале 2025 выполнялся 1 вид тестирования:
1. Функциональное тестирование (https://tsit-app1/projects/1332839/test-plans/3857410/report)</t>
  </si>
  <si>
    <t xml:space="preserve">ПОЛНОТА ВИДОВ ТЕСТИРОВАНИЯ</t>
  </si>
  <si>
    <t xml:space="preserve">В половине случаев не выполняются нужные виды тестирования и не соблюдается ВНД "Положение о видах тестирования"</t>
  </si>
  <si>
    <t xml:space="preserve">Показатель качества понижен относительно Аттестационного листа, т.к. для системы с классом критичности КК=MC необходимо выполнять 6 видов тестирования, фактически проводятся все виды необходимого тестирования, кроме приемочного тестирования.
Приемочное тестирование не проводится, не проверяются ключевые бизнес-операции, новые доработки.  
В соответствии с Положением о видах тестирования требуется проводить следующие виды тестирования:
1. Функциональное тестирование 
2. Интеграционное тестирование 
3. Регрессионное тестирование 
4. Нагрузочное тестирование 
5. Приемочное тестирование 
6. Smoke-тестирование
+ Тестирование удобства пользователя (опционально)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 Функциональное
2. Интеграционное
3. Регрессионное
4. Нагрузочное
5. Приемочное
6. Тестирование безопасности и контроля доступа (опционально)
7. Инсталляционное</t>
  </si>
  <si>
    <t xml:space="preserve">Необходимо выполнять 8 видов тестирования, фактически выполняется 7 видов тестирования.В соответствии с Положением о видах тестирования требуется проводить следующие виды тестирования:
1. Функциональное
2. Удобства использования
3. Регрессионное
4. Интеграционное
5. Приемочное
6. Автоматизированное
7. Нагрузочное
8. Безопасности и контроля доступа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 Функциональное
2. Smoke
3. Регрессионное
4. Интеграционное
5. Автоматизированное
6. Нагрузочное
Фактически выполняются следующие виды тестирования:
1. Функциональное
2. Smoke
3. Регрессионное
4. Интеграционное
5. Автоматизированное
6. .Нагрузочное
7. Приемочное</t>
  </si>
  <si>
    <t xml:space="preserve">Необходимо выполнять  6 видов тестирования, фактически выполняется 6 видов тестирования. В соответствии с Положением о видах тестирования требуется проводить следующие виды тестирования:
1. Функциональное
2. Регрессионное
3. Приемочное
4. Автоматизированное
5. Нагрузочное
6. Интеграционное
В соответствии с  Методикой тестирования составленной на основании Положения о видах тестирования
1.Функциональное
2. Удобства использования
3. Регрессионное
4. Приемочное
5. Автоматизированное
6. Нагрузочное
7. Интеграционное
 Фактически выполняются следующие виды тестирования:
1. Функциональное
2. Регрессионное
3. Приемочное
4. Автоматизированное
5. Нагрузочное
6. Интеграционное</t>
  </si>
  <si>
    <t xml:space="preserve">Необходимо выполнять 6 видов тестирования, фактически выполняется 6 видов тестирования.
В соответствии с Положением о видах тестирования требуется проводить следующие виды тестирования:
1.НТ
2.ФТ
3.РТ
4.ИТ
5.ПТ (приемочное)
6.удобства использования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1.НТ
2.ФТ
3.РТ
4.ИТ
5.ПТ (приемочное)
6.АТ
7. smoke
8. Тестирование безопасности и контроля доступа
Фактически выполняются следующие виды тестирования:
1.НТ
2.ФТ
3.РТ 
4. АТ
5. ИТ 
6.ПТ (приемочное)
7. smoke
8. Тестирование безопасности и контроля доступа</t>
  </si>
  <si>
    <t xml:space="preserve">Показатель качества не подтвержден Исполнителем Артефактом - ссылкой на методику тестирования. Частичное отсутствие требуемых видов тестирования на ИС. 
Показатель качества понижен на 0,14
Согласно Положения о видах тестирования с классом критичности МС требуется проводить: 
-Функциональное тестирование, 
-Тестирование удобства использования, 
-Регрессионное тестирование (требуется в части критичного функционала), 
-Нагрузочное тестирование, 
-Smoke тестирование, 
-Интеграционное тестирование
-Приёмочное тестирование.</t>
  </si>
  <si>
    <t xml:space="preserve">Показатель Качества не подтвержден Исполнителем Артефактом – ссылкой на Методику тестирования. Частичное отсутствие требуемых видов тестирования на ИС. 
В соответствии с Положением о видах тестирования требуется проводить следующие виды тестирования:
1. Функциональное тестирование
2. Тестирование удобства использования
3. Регрессионное тестирование
4. Нагрузочное тестирование
5. Интеграционное тестирование
6. Приемочное тестирование</t>
  </si>
  <si>
    <t xml:space="preserve">Необходимо выполнять 10 видов тестирования, фактически выполняется 10 видов тестирования. В соответствии с Положением о видах тестирования требуется проводить следующие виды тестирования:
1. Функциональное
2. Интеграционнное
3. Регрессионное
4. Нагрузочное 
5. Приемочное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 Smoke-тесты 
2. Функциональное тестирование
3. Тестирование удобства использования 
4. Интеграционное тестирование
5. Регрессионное тестирование
6. Нагрузочное тестирование
7. Автоматизированное тестирование
8. Приёмочное тестирование Банком  доработок подрядчика
9. Тестирование безопасности и контроля доступа (АТ ролевой модели)
10. Сквозное тестирование (e2e)
Фактически выполняются следующие виды тестирования:
1. Smoke-тесты 
2. Функциональное тестирование
3. Тестирование удобства использования (в ходе ФТ)
4. Интеграционное тестирование
5. Регрессионное тестирование
6. Нагрузочное тестирование
7. Автоматизированное тестирование
8. Приёмочное тестирование Банком  доработок подрядчика
9. Тестирование безопасности и контроля доступа (ФТ и АТ ролевой модели)
10. Сквозное тестирование (e2e</t>
  </si>
  <si>
    <t xml:space="preserve">Н </t>
  </si>
  <si>
    <t xml:space="preserve">Необходимо выполнять  3 вида тестирования, фактически за отчетный квартал было выполнено выполняется 0 видов тестирования. В соответствии с Положением о видах тестирования требуется проводить следующие виды тестирования:
1. функциональное 
2. интеграционное 
3. ргересионное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 функциональное 
2. интеграционное 
3. ргересионное   
Фактически за отчетный период тестирование не производилось, т.к. не было доработок системы.</t>
  </si>
  <si>
    <t xml:space="preserve">Согласно методике необходимы:
Unit тестирование
Функциональное тестирование
Тестирование удобства использования
Интеграционное тестирование
Регрессионное тестирование
Нагрузочное тестирование
Автоматизированное тестирование
Приемочное тестирование
Инсталляционное тестирование
Тестирования проводимые на ИС "Сайта-банка (корпоративная платформа)":
Функциональное тестирование
Нагрузочное тестирование:
Unit тестирование
Интеграционное тестирование
Регрессионное тестирование
Приемочное тестирование
При этом:
Нагрузочное тестирование - необходидимо ежерелизное проведение.
Unit тестирование - требуется расширение со стороны команды разработки Департамента Маркетинга и внедрение в процессы CI/CD.</t>
  </si>
  <si>
    <t xml:space="preserve">Необходимо выполнять 6 видов тестирования, фактически выполняется 4 вида тестирования.В соответствии с Положением о видах тестирования требуется проводить следующие виды тестирования:
1.Регрессионное тестирование
2.Функциональное тестирование
3. Интеграционное тестирование
4. Нагрузочное тестирование
5. Приёмочное тестирование
6. Тестирование удобства использования                                                                                              Фактически выполняются следующие виды тестирования:
1. Регрессионное тестирование
2. Функциональное тестирование
3. Автоматизированное тестирование
4. Нагрузочное тестирование
Однако Автоматизированное тестирование не является обязательным в соответствии с Положением о видах тестирования, поэтому не будет учитывается В фактически выполняющихся.
Из требуемых к проведению исключены следующие виды тестирования:
1. Приёмочное тестирование- по причине отсутсвия заказчика
2. Тестирование удобства использования - по причине отстутсвия отдельного БТ для Сервисных цетров.</t>
  </si>
  <si>
    <t xml:space="preserve">Не возможно измерить Подхарактеристику Качества ввиду не предоставления информации о Методике тестирования и Протоколах Тестирования в разрезе видов Тестирования Исполнителем (Тест-Менеджером)  по причине отсутствия релизов за измеряемый период, как следствие отсутствие необходимости тестирования ИС.</t>
  </si>
  <si>
    <t xml:space="preserve">Показатель качества не подтвержден Исполнителем Артефактом - ссылкой на Методику тестирования и Систему Управления тестированием с соответствующими Протоколами Тестирования в разрезе видов тестирования. Отсутствие требуемых видов тестирования на ИС. 
Согласно Положения о видах тестирования по ИС с классом критичности ВС и способом разработки Коробочный продукт требуется проводить: 
-Интеграционное тестирование
-Приёмочное тестирование.</t>
  </si>
  <si>
    <t xml:space="preserve">Требование не применимо.  Не произовдились тестирования в квартальном периоде</t>
  </si>
  <si>
    <t xml:space="preserve">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(6):
Функциональное
Удобство использования
Интеграционное
Регрессионное 
Smoke
Приемочное тестирование
Фактически выполнялись следующие виды тестирования (5):
Функциональное
Интеграционное
Регрессионное 
Smoke
приемочное тестирование</t>
  </si>
  <si>
    <t xml:space="preserve">В соответствии с  ВНД Положения о видах тестирования  установлена необходимость выполнения следующих видов тестирования (7):
Функциональное
Удобство использования
Интеграционное
Регрессионное 
Smoke
Приемочное тестирование
Нагрузочное тестирование
Фактически выполнялись следующие виды тестирования (4):
Функциональное
Интеграционное
Регрессионное 
Приемочное</t>
  </si>
  <si>
    <t xml:space="preserve">Необходимо выполнять  3 вида тестирования, фактически выполняется 2 вида тестирования.</t>
  </si>
  <si>
    <t xml:space="preserve">В соответствии с Положением о видах тестирования требуется проводить следующие виды тестирования:
1. Функциональное тестирование 
2. Интеграционное тестирование 
3. Регрессионное тестирование 
4. Нагрузочное тестирование 
5. Приемочное тестирование 
6. Smoke-тестирование
+ Тестирование удобства пользователя (опционально)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 Функциональное
2. Интеграционное
3. Регрессионное
4. Нагрузочное
5. Приемочное
6. Smoke-тестирование
7. Инсталляционное</t>
  </si>
  <si>
    <t xml:space="preserve">Согласовно ВНД на системе класса критичности MISSION CRITICAL, находящейся в промышленной эксплуатации, являющейся внешней кастомизацией по заказу банка на условиях полного цикла разработки и тестирования вовне, должны проводиться следующие 7 видов тестирования: 
ФТ, 
ТУИ, 
РТ, 
НТ, 
Smoke, 
ИТ, 
ПТ. 
Согласно найденной методике тестирования, на системе проводятся только 5 видов тестирования: 
ФТ, 
РТ, 
ИТ,
НТ,
Однако, в пространстве системы в СУТ и в Базе знаний были найдены тест-планы и отчеты по следующим видам тестирования: 
ФТ, 
РТ, 
ИТ, 
НТ</t>
  </si>
  <si>
    <t xml:space="preserve">Необходимо выполнять  6 видов тестирования, фактически выполняется 3 вида тестирования. В соответствии с Положением о видах тестирования требуется проводить следующие виды тестирования:                                                   1. Функциональное тестирование; 
2. Тестирование удобства пользования;
3. Регрессионное тестирование;
4. Интеграционное тестирование;
5. Приемочное тестирование;
6. Тестирование безопасности                                                                                                 Фактически выполняются следующие виды тестирования:                                                   1. Функциональное тестирование; 
2. Регрессионное тестирование;
3. Интеграционное тестирование;
4. Приемочное тестирование;
5. Тестирование безопасности</t>
  </si>
  <si>
    <t xml:space="preserve">Необходимо выполнять 6 видов тестирования, фактически выполняется 6 видов тестирования. В соответствии с Положением о видах тестирования требуется проводить следующие виды тестирования:
1. ФТ
2. РТ
3. НТ
4. Smoke
5. ИТ
6. ПрТ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1. ФТ
2. РТ
3. НТ
4. Smoke
5. ИТ
6. ПрТ      
Фактически выполняются следующие виды тестирования:
1. ФТ
2. РТ
3. НТ
4. Smoke
5. ИТ
6. ПрТ    </t>
  </si>
  <si>
    <t xml:space="preserve">Необходимо выполнять 8 видов тестирования, фактически выполняется 5 видов тестирования.
В соответствии с Положением о видах тестирования требуется проводить следующие виды тестирования (7):
Функциональное, Удобства использования, Регрессионное, Нагрузочное, Smoke, Интеграционное, Приемочное.
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(5):  
Функциональное, Интеграционное, Регрессионное, Нагрузочное, Автоматизированное
Фактически выполняются следующие виды тестирования:
Функциональное, Интеграционное, Регрессионное, Автоматизированное
В совокупности на основании Положения и Методики принимается решение:
Необходимо выполнять 8 видов тестирования, фактически выполняется 5 вида тестирования.</t>
  </si>
  <si>
    <t xml:space="preserve">Необходимо выполнять 2 вида тестирования, фактически выполняется 3 вида тестирования. 
В соответствии с Положением о видах тестирования требуется проводить следующие виды тестирования:
1.интеграционное
2.приемочное
Было обнаружено две различные методики тестирования, используемые для выхода в ОЭ и ПЭ. 
Для выхода в ОЭ выполнялось:
1. функциональное тестирование
2. тестирование интерфейса пользователей 
3. тестирование объемов данных
4. тестирование безопасность и контроля доступов
Для выхода в ПЭ выполнялось:
1. тестирование безопасность и контроля доступов
2. тестирование интерфейса пользователей 
3. регрессионное тестирование 
Фактически выполняются следующие виды тестирования:
1. функциональное
2. тестирование резеврных копий
3. drp тестирование
Причина низкого уровня оценки заключается в том, что ни один из выполняемых видов тестирования не соответствует требованиям ВНД (тестирование резеврных копий и DRP в ВНД даже не упоминаются), то есть их выполнение необязательно. При этом обязательные виды тестирования не выполняются</t>
  </si>
  <si>
    <t xml:space="preserve">В соответствии с  Методикой тестирования составленной на основании Положения о видах тестирования  установлена необходимость выполнения следующих видов тестирования (6):
Функциональное
Удобство использования
Интеграционное
Регрессионное 
Smoke
Приемочное тестирование
Фактически выполнялись следующие виды тестирования (4):
Функциональное
Интеграционное
Регрессионное 
Smoke</t>
  </si>
  <si>
    <t xml:space="preserve">на основании Положения о видах тестирования  установлена необходимость выполнения следующих видов тестирования (6):
Функциональное
Удобство использования
Интеграционное
Регрессионное 
Smoke
Приемочное тестирование
Фактически выполнялись следующие виды тестирования (4):
Функциональное
Интеграционное
Регрессионное 
Приемочное</t>
  </si>
  <si>
    <t xml:space="preserve">Согласно КК для системы МС по ВНД необходимо выполнять 8 видов тестирования. ( где это возможно применить)  
Информация о критичности выполнения тестирования в разрезе компонентов: 
1. «Интернет-Банк» 
 проводятся все виды тестирования
2. «Личный кабинет торгового эквайринга» проводятся все виды тестирования
3. «PSBOnline»
 проводятся все виды тестирования
4. «Панель администрирования» 
не проводится: 
-  тестирование удобства использования
- нагрузочное тестирование
5. «Лэндинг пейдж "Без бумаг"»  
не проводится:
-  нагрузочное тестирование
6. «Личный кабинет потенциального клиента» 
не проводится:
- нагрузочное тестирование
7. «Моя Бухгалтерия 1С»
не проводится: 
- нагрузочное тестирование
8. «Сервис прямого документооборота между PSB On-line и 1С»
не проводится: 
- тестирование удобства использования;
- нагрузочное тестирование</t>
  </si>
  <si>
    <t xml:space="preserve">Команды выполняют не все виды тестирования</t>
  </si>
  <si>
    <t xml:space="preserve">Идентичность непродуктовых сред</t>
  </si>
  <si>
    <t xml:space="preserve">Тестовые и  предпродуктивные  окружения идентичны рабочему окружению на 82%</t>
  </si>
  <si>
    <t xml:space="preserve">Приведение контуров к требованиям идентичности выполняется в задаче https://alm.headoffice.psbank.local/sd/operator/#uuid:GMtask$135918461:GMtask$PMsubivTask</t>
  </si>
  <si>
    <t xml:space="preserve">Невозможно измерить Подхарактеристику качества. Не выполнена оценка идентичности сред, ввиду отсутствия ресурса  Исполнителя (Менеджера тестовых сред)</t>
  </si>
  <si>
    <t xml:space="preserve">Тестовые и  предпродуктивные  окружения идентичны рабочему окружению</t>
  </si>
  <si>
    <t xml:space="preserve">Метрика неприменима. Отсутствует контур СТ. Системное тестирование проводится на окружении ИФТ.</t>
  </si>
  <si>
    <t xml:space="preserve">Невозможно измерить Подхарактеристику качества. Не выполнена оценка идентичности сред, ввиду отсутствия ресурса Исполнителя (Менеджера тестовых сред).</t>
  </si>
  <si>
    <t xml:space="preserve">Тестовое окружение идентично рабочему окружению на 100%</t>
  </si>
  <si>
    <t xml:space="preserve">Не возможно определить идентичность к рабочему окружению ввиду недостаточности ресурсов Менеджера Тестовых Сред</t>
  </si>
  <si>
    <t xml:space="preserve">Тестовые и предпродуктивные окружения не идентичны рабочему окружению:
- отсутствует описание ТУЗ, для какой системы/МС используется, предоставлен список только фактически имеющихся ТУЗ на среде,
- аудит архитектуры проводится по арх.схемам, без аудита реального состояния контуров,
- не предоставлена информация по критерию ППО, до полного перехода на ahcode
- сравнение происходит в разрезе характеристик 1 сервера среды тест/нт/препрод к характеристикам 1 сервера ПРОД. Общее кол-во серверов на ПРОД и суммарная мощность не учитывается.
- В расчете мощности не учитываются сервера Монолита на Windows
-В расчете МСЭ не учитываются МСЭ к ИС класса критичности ВО
- Отдельные расхождения для тестовых контуров согласованы при текущих планах их эксплуатации и текущей нагрузке.
По мощности 
Тест = 0,7,
LT1 = 0,61,
LT2 = 0,91, 
Preprod = 0,82</t>
  </si>
  <si>
    <t xml:space="preserve">Тестовые и  предпродуктивные  окружения идентичны рабочему окружению на 94%</t>
  </si>
  <si>
    <t xml:space="preserve">Тестовые и  предпродуктивные  окружения идентичны рабочему окружению на 93,5%</t>
  </si>
  <si>
    <t xml:space="preserve">Тестовые и  предпродуктивные  окружения идентичны рабочему окружению на 90%.</t>
  </si>
  <si>
    <t xml:space="preserve">Тестовые и препродуктивные окружения не идентичны рабочему окружению. 
Отсутствует контур PREPROD. 
На LT контуре абсолютно не совпадает архитектура с PROD, так как LT контур использует сервера TEST контура.</t>
  </si>
  <si>
    <t xml:space="preserve">Невозможно измерить Подхарактеристику качества. Не выполнена оценка идентичности сред, ввиду отсутствия ресурса Исполнителя (Менеджера тестовых сред)</t>
  </si>
  <si>
    <t xml:space="preserve">Идентичность TEST1 рабочему окружению на 94,7%.   Идентичность LT рабочему окружению на 98,5%. Идентичность PREPROD рабочему окружению на 97,3%.</t>
  </si>
  <si>
    <t xml:space="preserve">Невозможно измерить Подхарактеристику Качества ввиду непредоставления информации Менеджером Тестовых Сред по причине отсутствия ресурса либо без объяснения причин».</t>
  </si>
  <si>
    <t xml:space="preserve">Окружение  интеграционно-функционального тестирования идентично рабочему окружению на 99%.
Идентично 6 критериев из 7:Неидентична Архитектура в части сервера для OpenSearch логи аудита, а именно SITE-OSAU-DEV1 размещается на контуре Test – Служит для двух контуров TEST и DEV. Окружение  нагрузочного тестирования идентично рабочему окружению на 100%.
Идентично 7 критериев из 7. Окружение  препродуктивного окружения идентично рабочему окружению на 100%.
Идентично 7 критериев из 7</t>
  </si>
  <si>
    <t xml:space="preserve">Тестовые и  предпродуктивные  окружения идентичны рабочему окружению на:
1. Окружение интеграционно- функционального тестирования - 100%
2. Окружение нагрузочного тестирования - 97%
3. Препродуктивное окружение - 100%</t>
  </si>
  <si>
    <t xml:space="preserve">Не возможно измерить Подхарактеристику качества. Не выполнена оценка идентичности сред, ввиду отсутствия ресурса Исполнителя (Менеджера тестовых сред)</t>
  </si>
  <si>
    <t xml:space="preserve">Не возможно измерить Подхарактеристику качества. Не выполнена оценка идентичности сред, ввиду отсутствия ресурса  Исполнителя (Менеджера тестовых сред)</t>
  </si>
  <si>
    <t xml:space="preserve">Тестовые, НТ и предпродуктивные окружения не идентичны рабочему окружению:
- отсутствует описание ТУЗов, их функции и тд (предоставлен список только фактически имеющихся ТУЗ)
- аудит архитектуры проводится по арх.схемам, без аудита реального состояния контуров
- сравнение происходит в разрезе характеристик 1 сервера среды тест/нт/препрод к характеристикам 1 сервера ПРОД. Общее кол-во серверов на ПРОД и суммарная мощность не учитывается.
-В расчете МСЭ не учитываются МСЭ к ИС класса критичности ВО
По мощности 
Тест = 1
LT1 = 0,66
LT2 =1
Preprod = 0,44
Среднее арифметическое - 0,8</t>
  </si>
  <si>
    <t xml:space="preserve">Окруждение системного тестирования не учавствует аудите идентичности по критериям МТС; Между продуктиным и ИФТ окружением есть отличия в архитектурном решении - на ИФТ используется файловый сервер на базе vm, на проде NAS. Также на ИФТ контуре не обеспечена 100% индентичная по мощности (отклонение в 20% разрешено согласовано ВНД; Между продуктиным и НТ окружением есть отличия в архитектурном решении - на НТ используется файловый сервер на базе vm, на проде NAS.; Между продуктиным и препродуктивным окружением есть отличия в архитектурном решении - на препродуктивном контуре используется файловый сервер на базе vm, на проде NAS. Также на препродуктивном контуре не обеспечена 100% индентичная по мощности (отклонение в 50% разрешено согласовано ВНД)</t>
  </si>
  <si>
    <t xml:space="preserve">Идентичность тестовых и препродуктивных сред после приведения к идентичности находится на высоком уровне. На всех окружениях слабым критерием является идентичность ТУЗов. Вызванно это отсутствием интеграций в соответствии с продуктивным контуром. На НТ и ПП контурах эта проблема ярко выраженная. Препродуктивный контур несоответствует критерию "МСЭ", так как в соответствии с регламентом, доступ на препродуктивный контур есть только у ограниченного числа людей 
На тестовом контуре есть расхождения по ОС, во время приведения к идентичности выяснилось, что версии windows в действительности и в документах отличаются; в данный момент обновить версию windows невозможно, по причине отсутствия времени на восстановление системы, а также отсутствия гарантий сохранения работоспособности тестового контура</t>
  </si>
  <si>
    <t xml:space="preserve">Невозможно измерить Подхарактеристику Качества ввиду отсутствия ресурса менеджера тестовых сред. </t>
  </si>
  <si>
    <t xml:space="preserve">Невозможно измерить Подхарактеристику качества. Не выполнена оценка идентичности сред, ввиду отсутствия ресурса Исполнителя -Менеджера тестовых сред</t>
  </si>
  <si>
    <t xml:space="preserve">Подхарактерстика качества имеет высокий уровень так как , пройденый аудит показал 89% соответсвия</t>
  </si>
  <si>
    <t xml:space="preserve">Идентичность тестовых и препродуктивных сред относительно продуктивной среды находится на целевом уровне. Однако, ключевые несоответствия зафиксированы в критериях "Архитектура" и "Мощность". </t>
  </si>
  <si>
    <t xml:space="preserve">Чаще всего нет возможности измерить Характеристику ввиду отсуствия ресурсов Менеджера тестовых сред</t>
  </si>
  <si>
    <t xml:space="preserve">Состав тест и препрод окружений</t>
  </si>
  <si>
    <t xml:space="preserve">Состав тестовых и предпродуктивных сред соответствует  требованиям ВНД «Порядок работы с тестовыми и препродуктивными окружениями» , а именно развернуты следующие необходимые контура: 
 1. Dev – Контур для разработки и отладки конфигураций сервисов и миграций БД
2. Test – Контур для функционального и регрессивного тестирования
3. LT – Контур для нагрузочного тестирования
4. SFT– Контур для функционального и регрессивного тестирования.
Необходимость дооснащения инфрастуктуры отсутствует</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</si>
  <si>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 а именно развернуты следующие необходимые контура:  
1. DEV1
2. DEV2 (для отладки пакетов)
3. TST
4. LT
5. PREPROD
6. PROD
Рабочее окружение развернуто, релизы регулярно устанавливаются на продуктивный контур.</t>
  </si>
  <si>
    <t xml:space="preserve">Состав тестовых, предпродуктивных и иных окружений не соответствует  требованиям ВНД «Порядок работы с тестовыми и препродуктивными окружениями», а именно развернуты следующие необходимые контура: 
 1) Контур разработки и тестирования (один)
Нееобходимо дооснастить инфрастуктуру следующими контурами: 
1) Окружение интеграционно- функционального тестирования
2) Окружение нагрузочного тестирования
3) Препродуктивное окружение     
Рабочее окружение развернуто, пользователи допущены на окружение, бизнес-операции выполняются.</t>
  </si>
  <si>
    <t xml:space="preserve">На ИС развернуто два модуля: Systematica Radius Brok, Systematica Radius Main. У модулей одна арх.схема, один релизный цикл, одни задачи, один вендор. Данные из MAIN реплицируются в брокеридж.
На MAIN  развернуты: 
- Препрод
- Тест
На брокеридж развернуты: 
- Тест
Состав тестовых, предпродуктивных и иных окружений не соответствует требованиям ВНД «Порядок работы с тестовыми и препродуктивными окружениями», а именно не развернуты следующие необходимые контура: 
- НТ
 Рабочее окружение развернуто на обоих модулях, пользователи допущены на окружение, бизнес-операции выполняются.</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</si>
  <si>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 а именно развернуты следующие необходимые контура:
DEV
TEST
LT
PREPROD
PROD
Рабочее окружение развернуто, пользователи не допущены на окружение, бизнес-операции не выполняются</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</si>
  <si>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 а именно развернуты следующие необходимые контура: 
1) Test
2) Dev
Необходимость дооснащения инфрастуктуры отсутствует  </t>
  </si>
  <si>
    <t xml:space="preserve">Согласно ВНД 130/1 необходимо наличие test, dev, preprod и load
Фактически в наличии
test - готов;
dev - готов.
preprod - инфраструктура развернута, ПО не установлено;
load - инфраструктура развернута, ПО не установлено.</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</si>
  <si>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 а именно развернуты следующие необходимые контура: 
1) DEV
2) TEST
3) PROD
Необходимость дооснащения инфрастуктуры отсутствует.
Рабочее окружение развернуто, пользователи не допущены на PROD окружение, бизнес-операции на PROD окружении не выполняются (ИС не введено в ОЭ)</t>
  </si>
  <si>
    <t xml:space="preserve">СОСТАВ ТЕСТОВЫХ, ПРЕПРОД И ИНЫХ ОКРУЖЕНИЙ</t>
  </si>
  <si>
    <t xml:space="preserve">В большинстве случаев состав тестовых и препрод окружений соответствует Требованиям Банка</t>
  </si>
  <si>
    <t xml:space="preserve">2. Промышленная Эксплуатация</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</si>
  <si>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 а именно развернуты следующие необходимые контура:
1) Окружение разработки
2) Окружение интеграционно-функционального тестирования
3) Окружение нагрузочного тестирования 
4) Препродуктивное окружение
5) Продуктивное окружение
Показатель качества понижен относительно Аттестационного листа,  т.к. на препродуктивном окружение интеграции со смежными системами развернуты не в полном объеме, бизнес-операции  не выполняются.</t>
  </si>
  <si>
    <t xml:space="preserve">Состав тестовых и предпродуктивных сред соответствует требованиям ВНД «Порядок работы с тестовыми и препродуктивными окружениями» , а именно развернуты следующие необходимые контура: 
1.Dev
2.Test
3.LT
4.PreProd
Необходимость дооснащения инфрастуктуры отсутствует.</t>
  </si>
  <si>
    <t xml:space="preserve">Состав тестовых и предпродуктивных сред соответствует  требованиям ВНД «Порядок работы с тестовыми и препродуктивными окружениями» , а именно развернуты следующие необходимые контура: 
 1. Dev – Контур для разработки и отладки конфигураций сервисов и миграций БД
2. Test – Контур для функционального и регрессивного тестирования
3. LT – Контур для нагрузочного тестирования
4. PreProd – контур для проведения приемочного тестирования сотрудниками ДСИТ
Необходимость дооснащения инфрастуктуры отсутствует</t>
  </si>
  <si>
    <t xml:space="preserve">Состав тестовых, препродуктивных и разработческих окружений соответствует требованиям ВНД «Порядок работы с тестовыми и препродуктивными окружениями» , а именно развернуты следующие необходимые контура: 
Фактическое:
1.ОКРУЖЕНИЕ РАЗРАБОТКИ
2.ОКРУЖЕНИЕ СИСТЕМНОГО ТЕСТИРОВАНИЯ
3.ОКРУЖЕНИЕ НАГРУЗОЧНОГО ТЕСТИРОВАНИЯ
4.ПРЕПРОДУКТИВНОЕ ОКРУЖЕНИЕ
Требуемое:
1.ОКРУЖЕНИЕ ИНТЕГРАЦИОННО-ФУНКЦИОНАЛЬНОГО ТЕСТИРОВАНИЯ
Необходимо дооснащения инфрастуктуры в части окружения интеграционно-функционального тестирования.</t>
  </si>
  <si>
    <t xml:space="preserve">Состав тестовых, препродуктивных и иных окружений не соответствует требованиям ВНД «Порядок работы с тестовыми и препродуктивными окружениями», а именно развернуты следующие необходимые контура:
1)DEV
2)TEST
Необходимо дооснастить инфраструктуру следующими контурами:
1)LT
2)PREPROD
Рабочее окружение развернуто, пользователи допущены на окружение, бизнес-операции выполняются.
В ARCHTASK контур LT указан, но по факту контур использует тестовые сервера. </t>
  </si>
  <si>
    <t xml:space="preserve">Состав тестовых, предпродуктивных и иных окружений  не соответствует  требованиям ВНД «Порядок работы с тестовыми и препродуктивными окружениями», а именно развернуты следующие необходимые контура:  1) DEV 2) TEST 3) PREPROD. 
Необходимо дооснастить инфрастуктуру следующими контурами: LT . Рабочее окружение развернуто, пользователи допущены на окружение, бизнес-операции выполняются.</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</si>
  <si>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 а именно развернуты следующие необходимые контура:  
1. DEV
2. TST1
3. TST3 (отладочный для вендора)
4. LT
5. PREPROD
6. PROD
Рабочее окружение развернуто, пользователи допущены на окружение, бизнес-операции выполняются.</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</si>
  <si>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 а именно развернуты следующие необходимые контура:  1) интеграционно-функциональный. Необходимость дооснащения инфрастуктуры отсутствует.   Рабочее окружение развернуто, пользователи допущены на окружение, бизнес-операции не выполняются.</t>
  </si>
  <si>
    <t xml:space="preserve">Состав тестовых и предпродуктивных сред соответствует требованиям ВНД «Порядок работы с тестовыми и препродуктивными окружениями», а именно развернуты следующие необходимые контура: 
1) Окружение интеграционного-функционального тестирования
2) Окружение нагрузочного тестирования
3) Препродуктивное окружение
4) Окружение разработки
Необходимость дооснащения инфрастуктуры отсутствует. Рабочее окружение развернуто, пользователи допущены на окружение, бизнес-операции выполняются</t>
  </si>
  <si>
    <t xml:space="preserve">Состав тестовых, предпродуктивных и иных окружений  соответствует /не соответствует  требованиям ВНД «Порядок работы с тестовыми и препродуктивными окружениями», а именно развернуты следующие необходимые контура:  
1. Окружение интеграционно- функционального тестирования
2. Окружение нагрузочного тестирования
3. Препродуктивное окружение
4. Окружение разработки
Необходимость дооснащения инфрастуктуры отсутствует
Рабочее окружение развернуто, пользователи допущены на окружение, бизнес-операции выполняются</t>
  </si>
  <si>
    <t xml:space="preserve">Состав тестовых, препродуктивных и иных окружений не соответствует требованиям ВНД «Порядок работы с тестовыми и препродуктивными окружениями», а именно развернуты следующие необходимые контура:
-TEST
Необходимо дооснастить инфраструктуру следующими контурами:
1)DEV
2)LT
3)PREPROD
Рабочее окружение развернуто, пользователи допущены на окружение, бизнес-операции выполняются.</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</si>
  <si>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t>
  </si>
  <si>
    <t xml:space="preserve">Согластно ВНД на системе с КК должны быть Дев котнур и Тест конутр. Фактически Дев и Тест присутсвуют</t>
  </si>
  <si>
    <t xml:space="preserve">На системе требуется : 
Тест, контур НТ, препрод.
Фактически присутсвует Тест,препрод.</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</si>
  <si>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</si>
  <si>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 а именно развернуты следующие необходимые контура:  1) препродуктивный
2) нагрзочного тестирования
3) интеграционно-функционального тестирования
4) разработки (не смотря на то, что система является внешней разработкой).
Необходимость дооснащения инфрастуктуры отсутствует 
Рабочее окружение развернуто, пользователи допущены на окружение, бизнес-операции выполняются</t>
  </si>
  <si>
    <t xml:space="preserve">Состав тестовых, предпродуктивных и иных окружений  соответствует требованиям ВНД «Порядок работы с тестовыми и препродуктивными окружениями», а именно развернуты следующие необходимые контура:                                                                     1) Разработческий, 
2) Тестовый, 
3) Нагрузочный 
3) Preprod                                                                                                                        Необходимость дооснащения инфрастуктуры отсутствует .
Рабочее окружение развернуто, пользователи допущены на окружение, бизнес-операции выполняются.</t>
  </si>
  <si>
    <t xml:space="preserve">Состав тестовых, предпродуктивных и иных окружений не соответствует требованиям ВНД «Порядок работы с тестовыми и препродуктивными окружениями», а именно развернуты следующие необходимые контура:  
1)НТ
2)Тестовые
3)Препрод
Необходимо дооснастить инфрастуктуру следующими контурами: 
1) Контур разработки
Рабочее окружение развернуто, пользователи допущены на окружение, бизнес-операции выполняются
Причина, по которой контур разработки отсутсвует, заключается в том, что разработкой системы занимается вендор, следовательно, наличие контура разработки для Банка не нужно, но требуется ВНД</t>
  </si>
  <si>
    <t xml:space="preserve">Состав тестовых, предпродуктивных и иных окружений не соответствует требованиям ВНД «Порядок работы с тестовыми и препродуктивными окружениями», а именно развернуты следующие необходимые контура:  
1)Разработки
2)Тестирования
3)Препрод
Необходимо дооснастить инфрастуктуру следующими контурами: 
1) Контур нагрузочного тестирования
Рабочее окружение развернуто, пользователи допущены на окружение, бизнес-операции выполняются</t>
  </si>
  <si>
    <t xml:space="preserve">Подхарактеристика качества имеет высокий уровень. Согласно ВНД требуется Дев и тест контур. По факту есть только тест контур.</t>
  </si>
  <si>
    <t xml:space="preserve">Состав тестовых, предпродуктивных и иных окружений по ИС "ПСБ Бизнес" с учетом компонентов и КК МС не соответствует требованиям ВНД «Порядок работы с тестовыми и препродуктивными окружениями»
1. «Лэндинг пейдж "Без бумаг"  
отсутствует: 
- окружение Нагрузочного тестирования (LT) 
- предпродуктивное окружение (PreProd)  
2. «Личный кабинет потенциального клиента»
отсутствует: 
- Окружение Нагрузочного тестирования (LT)
3. «Моя Бухгалтерия 1С»
отсутствует: 
- Окружение Нагрузочного тестирования (LT)
4.«Сервис прямого документооборота между PSB On-line и 1С»
отсутствует: 
- Окружение Нагрузочного тестирования (LT) </t>
  </si>
  <si>
    <t xml:space="preserve">Показатель характеристики - Выше среднего.</t>
  </si>
  <si>
    <t xml:space="preserve">Опытная Эксплуатация</t>
  </si>
  <si>
    <t xml:space="preserve">Время установки Релиза</t>
  </si>
  <si>
    <t xml:space="preserve">Среднее фактическое время работ на установку релиза  составляет 46% от среднего запланированного времени. Таким образом фактическое время работ на установку релиза не превышает запланированное время работ.</t>
  </si>
  <si>
    <t xml:space="preserve">Среднее фактическое время работ на установку двух релизов составляет 57% от среднего запланированного времени. Таким образом фактическое время работ на установку релизов не превышает запланированное время работ.</t>
  </si>
  <si>
    <t xml:space="preserve">Среднее фактическое время работ на установку релиза  составляет 44,37 % от среднего запланированного времени. Таким образом, фактическое время работ на установку релиза не превышает запланированное время работ на 55,63 процентов.</t>
  </si>
  <si>
    <t xml:space="preserve">Показатель Качества не подтвержден Исполнителем Артефактами:  в Планах работ на установку Релиза отсутствует информация о Дате и времени фактического начала работ.</t>
  </si>
  <si>
    <t xml:space="preserve">Неприменимо. Релизы в проверяемом периоде отсутствуют</t>
  </si>
  <si>
    <t xml:space="preserve">Невозможно измерить Подхарактеристику качества ввиду отсутствия релизов ЕБПС  в 4Q2025. Единственный релиз отклонен по причине неисправления замечаний: SVR-1255664 Проведение срочных работ по обновлению ИС "Единый блок Профессиональных суждений". Версия EBPS_v7.0.1_12.12.2025. График релизов на рассматриваемый период отсутствует.</t>
  </si>
  <si>
    <t xml:space="preserve">Метрика неприменима, так как в проверяемом периоде ИС не обновлялась</t>
  </si>
  <si>
    <t xml:space="preserve">Невозможно измерить Подхарактеристику качества, так как в проверяемом периоде ИС не обновлялась.</t>
  </si>
  <si>
    <t>ПЕРЕНОСИМОСТЬ</t>
  </si>
  <si>
    <t xml:space="preserve">ВРЕМЯ УСТАНОВКИ РЕЛИЗА</t>
  </si>
  <si>
    <t xml:space="preserve">Организовывать Релизы на ОЭ нет требований по ВНД Регламент процесса "Управление релизами"</t>
  </si>
  <si>
    <t xml:space="preserve">Показатель Качества повышен относительно Аттестационного листа, в связи с отсутствием выхода за тех. окна при установке релизов.
Показатель Качества не подтвержден Исполнителем Артефактами: ссылкой на SVR в Системе управления тестированием с указанным фактическим временем выполнения работ (указано только плановое время) по причине отсутствия необходимых полей для указания фактического времени в ИЗ ПО Naumen Project Ruler</t>
  </si>
  <si>
    <t xml:space="preserve">Среднее фактическое время работ на установку релиза  составляет 56% от среднего запланированного времени. Таким образом фактическое время работ на установку релиза не превышает запланированное время работ.</t>
  </si>
  <si>
    <t xml:space="preserve">Среднее фактическое время работ на установку релиза  составляет 68% от среднего запланированного времени. Таким образом фактическое время работ на установку релиза не превышает запланированное время работ.</t>
  </si>
  <si>
    <t xml:space="preserve">Среднее фактическое время работ на установку релиза составляет 100% от среднего запланированного времени. Таким образом фактическое время работ на установку релиза не превышает запланированное время работ .</t>
  </si>
  <si>
    <t xml:space="preserve">Неприменимо. Релизы в проверяемом периоде отсутствуют. </t>
  </si>
  <si>
    <t xml:space="preserve">Среднее фактическое время работ на установку релиза  составляет 100%  от среднего запланированного времени. Таким образом фактическое время работ на установку релиза не превышает запланированное время работ.</t>
  </si>
  <si>
    <t xml:space="preserve">Среднее фактическое время работ на установку релиза составляет 15,9% от среднего запланированного времени. Таким образом фактическое время работ на установку релиза не превышает запланированное время работ.</t>
  </si>
  <si>
    <t xml:space="preserve">Неприменимо. Релизы в проверяемом периоде отсутствуют:</t>
  </si>
  <si>
    <t xml:space="preserve">За проверяемый период было установлено 7 релизов. Фактическое время работ на установку релиза 20 часов 25 минут,  тогда как запланированное время составляло 30 часов. 
Фактическое время работ на установку релиза  составляет 69% от запланированного времени. Таким образом фактическое время работ на установку релиза не превышает запланированное время работ на 31%.
При этом был 1 релиз в периоде, превысивший запланированное время установки</t>
  </si>
  <si>
    <t xml:space="preserve">Среднее фактическое время работ на установку релиза  составляет 40% от среднего запланированного времени. Таким образом фактическое время работ на установку релиза не превышает запланированное время работ на 60 процентов</t>
  </si>
  <si>
    <t xml:space="preserve">Не возможно измерить Подхарактеристику Качества ввиду не предоставления информации:  ссылками на  задачи в СУЗ и Планны Работ   Исполнителем (Релиз-менеджером) без объяснения причин</t>
  </si>
  <si>
    <t xml:space="preserve">Все релизы являются срочными.Фактическое время установки не привязано ко времени указанному в Плане работ или в SVR, т.к. часто требуется установка обновлений день в день (в день получения их от вендора). 
Также, установка обновлений зависит от: 
-ненормированного графика работы пользователей ПО (принудительно завершить их работу нельзя);
-если релиз попадал на дни, когда производилась отправка отчетности в ПО, которую нельзя было прерывать в течении нескольких часов;
-если релиз попадал на дни, когда ПО освобождалось раньше, то это приводило к ранней установке обновлений.</t>
  </si>
  <si>
    <t xml:space="preserve">Общее количество Релизов за проверяемый период  0</t>
  </si>
  <si>
    <t xml:space="preserve">Подхарактеристика качества соответсвует . ни один релиз не вышел за плановые значения</t>
  </si>
  <si>
    <t xml:space="preserve">Подхарактеристика качества имеет высокий уровень так как фактическое время установки релиза меньше запланированого</t>
  </si>
  <si>
    <t xml:space="preserve">Среднее фактическое время работ на установку релиза  составляет 100% от среднего запланированного времени.</t>
  </si>
  <si>
    <t xml:space="preserve">Среднее фактическое время работ на установку релиза  составляет 80% от среднего запланированного времени. </t>
  </si>
  <si>
    <t xml:space="preserve">Среднее фактическое время работ на установку релиза  составляет 100% от среднего запланированного времени. Таким образом фактическое время работ на установку релиза не превышает запланированное время работ 
За проверяемый период на системе было проведено 10 релизов, фактическое время установки резов на всех релизах меньше или равно ожидаемому. Установлено, что на каждый релиз выделено одинаковое время на установку - 119 минут, при этом SVR 50431, 52368, 52005, 21579, 50996 были установлены в два раза быстрее ожидаемого времени. Последние пять релизов за квартал обладают одинаковыми планируемыми и фактическими временами</t>
  </si>
  <si>
    <t xml:space="preserve">Показатель Качества не подтвержден Исполнителем Артефактами:  ссылкой на SVR в Системе управления тестированием и План работ на установку Релиза». Отсутствует фиксация  времени  окончания установки релиза.</t>
  </si>
  <si>
    <t xml:space="preserve">За измеряемый период все четыре релиза были установлены быстрее, чем плнировалось. Наблюдаются большие расхождения межу планом работ, комментариями к релизным задач, а также предоставленной информацией</t>
  </si>
  <si>
    <t xml:space="preserve">Среднее фактическое время работ на установку релиза  составляет 603% от среднего запланированного времени. 
Таким образом фактическое время работ на установку релиза не превышает запланированное время работ</t>
  </si>
  <si>
    <t xml:space="preserve">Невозможно измерить Подхарактеристику качества. Не предоставлены ссылки на Задачи в СУЗ, Планы работ ввиду отсутствия ресурса Исполнителя релиз-менеджера</t>
  </si>
  <si>
    <t xml:space="preserve">Подхарактеристика качества имеет высокий уровень , так как фактическое время установки не превышает запланированный</t>
  </si>
  <si>
    <t xml:space="preserve">Время установки релизов соответсвует</t>
  </si>
  <si>
    <t xml:space="preserve">Фактическое время работ на установку релиза ИС "ПСБ Бизнес" с учетов 8 компонентов не превышает запланированное время работ по плану установки релиза. </t>
  </si>
  <si>
    <t xml:space="preserve">Выявлены точеные проблемы по фиксированию реального времени установки Релиза ввиду недостатка ресурса Релиз-Менеджера</t>
  </si>
  <si>
    <t xml:space="preserve">Средняя пропускная способность за проверяемый период составляет 24410 операций в месяц, что по отношению к Требованиям заявленным в Техническом Задании  составляет 100% </t>
  </si>
  <si>
    <t xml:space="preserve">Требования к Средней пропускной способности отсутствуют в Техническом задании и Руководстве системного администратора.
Среднее количество операций - 61 запрос/сек (на основе данных из отчета нагрузочного тестирования).
Эталонное количество операций - 0,69 запрос/сек (на основе данных из сайзинга).
Средняя пропускная способность за проверяемый период составляет 5270400 операций в день, что по отношению к Требованиям, заявленным в сайзинге 59798, составляет 8813%. 
В дальнейшем для более точного расчета необходима статистика по операциям с продуктивного контура.</t>
  </si>
  <si>
    <t xml:space="preserve">Требования к Средней Пропускной способности отсутствуют в Техническом задании.</t>
  </si>
  <si>
    <t xml:space="preserve">Невозможно измерить Подхарактеристику Качества ввиду отсутствия эталонного понимания пропускной способности по каждой операции от бизнес представителей и развития.</t>
  </si>
  <si>
    <t xml:space="preserve">Невозможно измерить Подхарактеристику качества. Не возможно получить данные о фактически выполненных операциях за проверяемый период  ввиду отсутствия ресурса Исполнителя (Сопровождение 2я линия)</t>
  </si>
  <si>
    <t xml:space="preserve">Невозможно измерить Подхарактеристику качества ввиду отсутствия пользователей на прод в рассматриваемый период.</t>
  </si>
  <si>
    <t xml:space="preserve">Метрика неприменима, так как ИС введена в ОЭ в самом конце рассматриваемого периода 29.12.2025. Операции на PROD-контуре в 4 квартале 2025 года не проводились.</t>
  </si>
  <si>
    <t xml:space="preserve">Невозможно измерить Подхарактеристику качества ввиду отсутствия описания ключевых операций в требованиях и отсутствия измерений в рассматриваемый период.</t>
  </si>
  <si>
    <t>ЭФФЕКТИВНОСТЬ</t>
  </si>
  <si>
    <t xml:space="preserve">СРЕДНЯЯ ПРОПУСКНАЯ СПОСОБНОСТЬ</t>
  </si>
  <si>
    <t xml:space="preserve">Зачастую Требования к пропускной способности ИС не фиксируются в ТЗ</t>
  </si>
  <si>
    <t xml:space="preserve">Невозможно измерить Подхарактеристику качества. Невозможно получить данные о фактически выполненных операциях за проверяемый период  ввиду непредоставления информации Исполнителем по причинам: 
- незавершенного периода перехода на новые операции ИЗ ЗОКИИ,
- отсутствия реестра ключевых операций ИС, по которым необходимо предоставление информации,
- отсутствие описания эталонного количества операций за единицу времени в документации  </t>
  </si>
  <si>
    <t xml:space="preserve">Средняя пропускная способность за проверяемый период составляет 5398880 операций в сутки, что по отношению к Требованиям заявленным в Техническом Задании составляет 539,8 %</t>
  </si>
  <si>
    <t xml:space="preserve">Средняя пропускная способность за проверяемый период составляет 37565 операций в месяц, что по отношению к Требованиям заявленным в Техническом Задании  составляет 20,4% </t>
  </si>
  <si>
    <t xml:space="preserve">Невозможно измерить Подхарактеристику качества. Отсутствуют артефакты (отсутствует ссылка на задачу о постановке на Мониторинг бизнес-метрик)</t>
  </si>
  <si>
    <t xml:space="preserve">Для ПАК EDSmart настроен только мониторинг каталогов входящих/исходящих ЭС и каталогов с ошибками, для своевременного реагирования в случае возникновения замедления или ошибок в обработке ЭС. Требования к Средней Пропускной способности отсутствуют.</t>
  </si>
  <si>
    <t xml:space="preserve">Невозможно измерить Подхарактеристику качества. Невозможно получить данные о фактически выполненных операциях за проверяемый период ввиду непредоставления информации Исполнителем по причине, что такие задачи не ставились.</t>
  </si>
  <si>
    <t xml:space="preserve">Требования к Средней пропускной способности отсутствуют в Техническом задании и Руководстве системного администратора.
Невозможно измерить Подхарактеристику качества.</t>
  </si>
  <si>
    <t xml:space="preserve">Средняя пропускная способность за проверяемый период составляет 12 333 операций в день, что по отношению к Требованиям заявленным в Техническом Задании 6 000 составляет 205 % </t>
  </si>
  <si>
    <t xml:space="preserve">Невозможно измерить Подхарактеристику Качества ввиду не предоставления информации Сопровождением 2я линия по причине, что "Нет определения бизнес операция в ТЗ или ЗНИ. Отсутвует список бизнес-операций. БТ от ДМ составлено, в данный момент проходит согласование с командой проекта и внесение изменений в ТЗ системным аналитиком".</t>
  </si>
  <si>
    <t xml:space="preserve">Не возможно измерить Подхарактеристику качества. Не возможно получить данные о фактически выполненных операциях за проверяемый период  ввиду непредоставления информации Исполнителем по причине отсутствия паспорта мониторинга и отсутствия требования к отклику в ТЗ.</t>
  </si>
  <si>
    <t xml:space="preserve">Для ПО АРМ "Финансового мониторинга" настроен только мониторинг серверов и БД. Требования к Средней Пропускной способности отсутствуют.</t>
  </si>
  <si>
    <t xml:space="preserve">Не возможно измерить Подхарактеристику качества. Не возможно получить данные о фактически выполненных операциях за проверяемый период  ввиду отсутствия ресурса Исполнителя (Сопровождение 2я линия)</t>
  </si>
  <si>
    <t xml:space="preserve">Не возможно измерить Подхарактеристику качества. Не возможно получить данные о фактически выполненных операциях за проверяемый период  ввиду непредоставления информации Исполнителем </t>
  </si>
  <si>
    <t xml:space="preserve">Не возможно измерить Подхарактеристику качества. Не возможно получить данные о фактически выполненных операциях за проверяемый период  ввиду непредоставления информации Исполнителем</t>
  </si>
  <si>
    <t xml:space="preserve">Требования к Средней Пропускной способности отсутствуют в Техническом задании
Оценить насколько средняя пропускная способность соотвествует целевой не является возможным, так как требования к целевой пропускной способности отсутствуют в ТЗ. 
Последнее подтвержденное обновление в метриках, относящихся к пропускной способности, было 18.12.2023 - было добавлено 10 операций. За проверяемый промежуток, новых метрик не добавлялось</t>
  </si>
  <si>
    <t xml:space="preserve">Показатель Качества не подтвержден  артефактом Отсутствует техническое задание с требованиями к эффективности ИС , а так же  не зафиксирован список операций, поставленных на Мониторинг бизнес-метрик. На мониторинг заявлен тольо список служб и портов и сервисов.</t>
  </si>
  <si>
    <t xml:space="preserve">Требования к Средней Пропускной способности отсутствуют в Техническом задании</t>
  </si>
  <si>
    <t xml:space="preserve">Показатель Качества не подтвержден  Исполнителем Артефактом</t>
  </si>
  <si>
    <t xml:space="preserve">Не возможно измерить Подхарактеристику качества. Невозможно получить данные о фактически выполненных операциях за проверяемый период  в виду  отсутствия запрошенных метрик в БТ и ТЗ. (Поэтому они не были реализованы намеренно в рамках разработки подсистем)</t>
  </si>
  <si>
    <t xml:space="preserve"> 1. Требования к пропускной способности не фиксируются в ТЗ. .2.  Нет инструмента замера Времени Отклика на рабочем окружении</t>
  </si>
  <si>
    <t xml:space="preserve">Среднее время отклика по критическим бизнес-операциям  за проверяемый период составляет: 
1.Движение на этап ~ мгновенно
2.Вызов стоп-условий ~ мгновенно
3.Проверка по светофору ~ 1 секунда
4.Резервирование счета ~ 3 минуты
5.Создание клиента и открытие счета в Афине ~ 7 минут
6.Активации карты ~ мгновенно
7.Выгрузка в досье ~ 3-4 секунды
, что по отношению к Требованиям заявленным в Техническом Задании составляет 90 %</t>
  </si>
  <si>
    <t xml:space="preserve">Требования к Эталонному времени отклика отсутствуют в Техническом задании. Для ключевых операций (раздел "4.5 Требования к производительности)" указано время отклика, но на мониторинг сейчас поставлены другие бизнес-метрики: интеграции с СИАМ, ЕПХД, НА и 1С ЗУП. 
Дашборд мониторинга в процессе создания, за оцениваемый период с 01.10.2025 по 31.12.2025 статистики у сопровождения нет.
Поэтому невозможно измерить Подхарактеристику качества.</t>
  </si>
  <si>
    <t xml:space="preserve">Требования к Эталонному времени отклика  отсутствуют в Техническом задании</t>
  </si>
  <si>
    <t xml:space="preserve">Невозможно измерить Подхарактеристику Качества ввиду отсутствия информации по эталонному времени отклика по каждой операции.</t>
  </si>
  <si>
    <t xml:space="preserve">Невозможно измерить Подхарактеристику Качества. Невозможно Получить информацию о времени отклика при исполнении ИС операций за проверяемый период ввиду отсутствия ресурса Исполнителя (Сопровождение 2я линия)</t>
  </si>
  <si>
    <t xml:space="preserve">КОРРЕКТНОСТЬ ВРЕМЕНИ ОТКЛИКА</t>
  </si>
  <si>
    <t xml:space="preserve">1. Требования к Времени Отклика не фиксируются в ТЗ. .2.  Нет инструмента замера Времени Отклика на рабочем окружении</t>
  </si>
  <si>
    <t xml:space="preserve">Невозможно измерить Подхарактеристику Качества. Непредоставлена информация о фактическом времени отклика по операциям исполнным ИС за период проверки Исполнителем (Сопровождение 2я линия)  по причинам:
- незавершенного периода перехода на новые операции ИЗ ЗОКИИ,
- отсутствия реестра ключевых операций ИС, по которым необходимо предоставление информации,
- отсутствие описания эталонного количества операций за единицу времени в документации </t>
  </si>
  <si>
    <t xml:space="preserve">Среднее время отклика по критическим бизнес-операциям  за проверяемый период составляет 62 операций в секунду. (Эталонное время 1000000 операций в сутки/11,5 операций в секунду). Время выполнения операций
 От 2 до 8 секунд- время с момента принятия сообщения до получения статуса доставки с мобильного устройства клиента.
Требования: Время жизни отправки технических паролей- 60 секунд. Среднее время доставки сообщений до клиента с iSimple- 5 секунд.</t>
  </si>
  <si>
    <t xml:space="preserve">Среднее время отклика по критическим бизнес-операциям  за проверяемый период составляет: 0,004сек, при эталлоном времени отклика 1,5 секунды.</t>
  </si>
  <si>
    <t xml:space="preserve">Невозможно измерить Подхарактеристику Качества. Не предоставлена информация о фактическом времени отклика по операциям исполненным ИС за период проверки Исполнителем (Сопровождение 2я линия)  по причине отсутствия постановки на мониторинг ключевых бизнес-процессов.</t>
  </si>
  <si>
    <t xml:space="preserve">Для ПАК EDSmart настроен только мониторинг каталогов входящих/исходящих ЭС и каталогов с ошибками, для своевременного реагирования в случае возникновения замедления или ошибок в обработке ЭС. Требования к Эталонному времени отклика  отсутствуют.</t>
  </si>
  <si>
    <t xml:space="preserve">Невозможно измерить Подхарактеристику Качества. Не предоставлена информация о фактическом времени отклика по операциям исполненным ИС за период проверки Исполнителем (Сопровождение 2я линия)  по причине, что такие задачи не ставились.</t>
  </si>
  <si>
    <t xml:space="preserve">Требования к Эталонному времени отклика отсутствуют в Техническом задании. Для ключевых операций (раздел "4.5 Требования к производительности)" указано время отклика, но на мониторинг сейчас поставлены другие бизнес-метрики: создание заявок на счета ГОЗ за период, синхронизция с AD, выполнение ETL, интеграция с 1С ЗУП. </t>
  </si>
  <si>
    <t xml:space="preserve">Требования к Эталонному времени отклика  отсутствуют в Техническом задании;</t>
  </si>
  <si>
    <t xml:space="preserve">Для ПО АРМ "Финансового мониторинга" настроен только мониторинг серверов и БД. Требования к Эталонному времени отклика  отсутствуют.</t>
  </si>
  <si>
    <t xml:space="preserve">Не возможно измерить Подхарактеристику Качества. Невозможно Получить информацию о времени отклика при исполнении ИС операций за проверямый период ввиду отсутствия ресурса Исполнителя ( Сопровождение 2я лини)</t>
  </si>
  <si>
    <t xml:space="preserve">Не возможно измерить Подхарактеристику Качества. Не предоставлена информация о фактическом времени отклика по операциям исполнным ИС за период проверки Исполнителем (Сопровождение 2я линия)</t>
  </si>
  <si>
    <t xml:space="preserve">Требования к Эталонному времени отклика отсутствуют в Техническом задании;</t>
  </si>
  <si>
    <t xml:space="preserve">Не возможно измерить Подхарактеристику Качества. Не предоставлена информация о фактическом времени отклика по операциям исполнным ИС за период проверки Исполнителем </t>
  </si>
  <si>
    <t xml:space="preserve">Безопасность. Показатели аутентификации</t>
  </si>
  <si>
    <t xml:space="preserve">Корректность механизма аутентификации</t>
  </si>
  <si>
    <t xml:space="preserve">Общее количество определенных механизмов аутентификации - 1, из них реализовано 1, что составляет 100%.</t>
  </si>
  <si>
    <t xml:space="preserve">Реализованы все запланированные механизмы аутентификации:
- парольная 
- доменная</t>
  </si>
  <si>
    <t xml:space="preserve">Невозможно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профильного ресурса.</t>
  </si>
  <si>
    <t xml:space="preserve">Показатель Качества не подтвержден Исполнителем (Тест-Аналитиком) следующими Артефактами:  Отсутствие артефактов подтверждающих корректность механизмов аутентификации.</t>
  </si>
  <si>
    <t xml:space="preserve">Аутентификация через Active Directory (Протокол LDAP).
Фактор аутентификаии: основанный на знании
Метод аутентификации: парольный</t>
  </si>
  <si>
    <t xml:space="preserve">Невозможно измерить Подхарактеристику качества ввиду  непредоставления данных профильным сотрудником.</t>
  </si>
  <si>
    <t xml:space="preserve">В ТЗ и паспорте ИБ описаны несколько механизмов аутентификации для Сотрудников и Клиентов. Их проверки не проводились в рассматриваемый период</t>
  </si>
  <si>
    <t xml:space="preserve">Показатель качества подтвержден протоколами тестирования правил аутентификации. Паспорт ИБ скорректирован и находится на согласование БИБ</t>
  </si>
  <si>
    <t xml:space="preserve">На проект 100565 заложен ресурс ТА нhttps://jira.psbnk.msk.ru/browse/SPPI-10436.
На ИС доменная авторизация. 
Данные предоставлены тестировщиком. </t>
  </si>
  <si>
    <t xml:space="preserve">БЕЗОПАСНОСТЬ. ПОКАЗАТЕЛИ АУТЕНТИФИКАЦИИ</t>
  </si>
  <si>
    <t xml:space="preserve">КОРРЕКТНОСТЬ МЕХАНИЗМА АУТЕНТИФИКАЦИИ</t>
  </si>
  <si>
    <t xml:space="preserve">В половине случаев нет возможности получить результаты тестирования утановленных Требований к аутентификации. Тестирование не фиксирует проверку этих Требований и их невозможно найти.</t>
  </si>
  <si>
    <t xml:space="preserve">Показатель качества подтвержден протоколами тестирования правил аутентификации. Скорректирован паспорт ИБ, описание разделено на пользовательскую и клиентскую аутентификацию, паспорт ИБ согласован БИБ</t>
  </si>
  <si>
    <t xml:space="preserve">Общее количество определенных механизмов аутентификации - 2, из них реализовано 2, что составляет 100%.</t>
  </si>
  <si>
    <t xml:space="preserve">Аутентификация ИС реализована через систему Active Directory, применяются Требования к аутентификации Active Directory. Также используется дополнительная система аутентификации Keycloak, которая обеспечивает назначение ролей пользователям на основе информации из AD, выдачу токенов авторизации (Keycloak связывает роли ИС с группами AD).
Необходимость реализации аутентификации ИС ЕПХД через Active Directory  зафиксирована в Паспорте Безопасности/Техническом Задании/ЗНИ п 2.7 
Корректнось </t>
  </si>
  <si>
    <t xml:space="preserve">Не возможно измерить Подхарактеристику качества. Нет требований к Корректности Механизма Аутентификации</t>
  </si>
  <si>
    <t xml:space="preserve">Невозможно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профильного ресурса</t>
  </si>
  <si>
    <t xml:space="preserve">Невозможно измерить Подхарактеристику Качества.  Ввиду не предоставления информации  о результатах тестирования механизма аутентификации профильным ресурсом по причине без объяснения причин.</t>
  </si>
  <si>
    <t xml:space="preserve">Общее количество определенных механизмов аутентификации - 2 из них реализовано 2, что составляет 100%.</t>
  </si>
  <si>
    <t xml:space="preserve">Не 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ресурса Исполнителя (Тест-Аналитика).»</t>
  </si>
  <si>
    <t xml:space="preserve">Не возможно измерить Подхарактеристику Качества. Не предоставлена информация о фактическом времени отклика по операциям исполнным ИС за период проверки Исполнителем (Сопровождение 2я линия) </t>
  </si>
  <si>
    <t xml:space="preserve">Не 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профильного ресурса</t>
  </si>
  <si>
    <t xml:space="preserve">Аутентификация в Ритейле идет  через микросервисный домен (через AD). </t>
  </si>
  <si>
    <t xml:space="preserve">Все заявленные механизмы аутентификации разработаны и протестированы</t>
  </si>
  <si>
    <t xml:space="preserve">Невозможно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профильного ресурса</t>
  </si>
  <si>
    <t xml:space="preserve">Невозможно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профильного ресурса тест-аналитика</t>
  </si>
  <si>
    <t xml:space="preserve">Невозможно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профильного ресурса тест-аналитика</t>
  </si>
  <si>
    <t xml:space="preserve">Не 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ресурса Исполнителя (Тест-Аналитика).</t>
  </si>
  <si>
    <t xml:space="preserve">Все предусмотренные механизмы аутентификации реализованы и протестированы</t>
  </si>
  <si>
    <t xml:space="preserve">Затруднено получение Артефактов о проверке механизма аутентификации. Процесс фиксирования Протокол Тестирования либо Тест-кейсов на проверку реализации механизма аутентификации отсутствует</t>
  </si>
  <si>
    <t xml:space="preserve">Соответствие правил аутентификаци</t>
  </si>
  <si>
    <t xml:space="preserve">Общее количество определенных правил аутентификации - 15, из них проверено 15, что составляет 100%.</t>
  </si>
  <si>
    <t xml:space="preserve">Показатель Качества подтвержден Исполнителем (Тест-Аналитиком)  следующими артефактами: результатами тестирования правил аутентификации на основании Технического Задания.
Из 22 правил реализовано 21: 95,5%.
Не реализовано правило:
2.13 Возможность задать разные параметры парольных политик для привилегированных и непривилегированных пользователей.</t>
  </si>
  <si>
    <t xml:space="preserve">Невозможно измерить Подхарактеристику качества. Нет возможности получить результаты тестирования на проверку соответствия  реализованных правил аутентификации Техническому Заданию, ввиду отсутствия профильного ресурса.</t>
  </si>
  <si>
    <t xml:space="preserve">Показатель Качества не подтвержден Исполнителем (Тест-Аналитиком) следующими Артефактами:  Отсутствие артефактов подтверждающих соответствие правилам аутентификации.</t>
  </si>
  <si>
    <t xml:space="preserve">Аутентификация через Active Directory (Протокол LDAP).
Правила описаны в Паспорте Безопасности</t>
  </si>
  <si>
    <t xml:space="preserve">На проект 100799 ресурс ТА не закладывался https://jira.psbnk.msk.ru/browse/SPPI-16255. На ИС отсутствует выделенный ресурс тест-аналитика.  
На ИС доменная авторизация. Данные предоставлены тестировщиком. 
Кейсы для проверки аутентификации: https://tsit-app1/projects/1027175/tests?isolatedSection=abe134d6-0a15-4010-86cd-46816b62e225
Проверка осуществлялась ранее https://tsit-app1/projects/1027175/test-plans/1208932/plan
Показатель качества повышен, так как описание правил аутентификации содержится в паспорте безопасности охватывают правила для доменных паролей. </t>
  </si>
  <si>
    <t xml:space="preserve">Невозможно измерить Подхарактеристику качества ввиду  непредоставления данных профильным сотрудником.
В паспорте ИБ описаны 16 правил аутентификации. Их проверки не проводились в рассматриваемый период</t>
  </si>
  <si>
    <t xml:space="preserve">На проект 100565 заложен ресурс ТА нhttps://jira.psbnk.msk.ru/browse/SPPI-10436. 
На ИС отсутствует выделенный ресурс тест-аналитика.  
На ИС доменная авторизация. Данные предоставлены тестировщиком. 
Кейсы для проверки аутентификации: https://tsit-app1/projects/1027175/tests?isolatedSection=abe134d6-0a15-4010-86cd-46816b62e225
Проверка осуществлялась ранее https://tsit-app1/projects/1027175/test-plans/1208932/plan
Показатель качества повышен, так как описание правил аутентификации содержится в паспорте безопасности охватывают правила для доменных паролей. </t>
  </si>
  <si>
    <t xml:space="preserve">СООТВЕТСТВИЕ ПРАВИЛ  АУТЕНТИФИКАЦИИ</t>
  </si>
  <si>
    <t xml:space="preserve">При выполнении тестирования Требований не всегда фиксируются результаты проверко и поэтому впоследствии сложно получить подтверждение о том что все реализовано корретно.</t>
  </si>
  <si>
    <t xml:space="preserve">Общее количество определенных правил аутентификации - 14, из них проверено 14, что составляет 100%.</t>
  </si>
  <si>
    <t xml:space="preserve">Аутентификация ИС реализована через систему Active Directory, применяются Требования к аутентификации Active Directory. Также используется дополнительная система аутентификации Keycloak, которая обеспечивает назначение ролей пользователям на основе информации из AD, выдачу токенов авторизации (Keycloak связывает роли ИС с группами AD).
Необходимость реализации аутентификации ИС ЕПХД через Active Directory  зафиксирована в Паспорте Безопасности/Техническом Задании/ЗНИ п 2.7 
Корректнось механизма аутентификации подтверждена артефактами (Паспорт ИБ, ТЗ, Протоколами тестирования).</t>
  </si>
  <si>
    <t xml:space="preserve">Не возможно измерить Подхарактеристику качества. Нет требований на проверку соответствия  реализованных правил аутентификации Техническому Заданию.</t>
  </si>
  <si>
    <t xml:space="preserve">Невозможно измерить Подхарактеристику качества. Нет возможности получить результаты тестирования на проверку соответствия реализованных правил аутентификации Техническому Заданию, ввиду отсутствия профильного ресурса</t>
  </si>
  <si>
    <t xml:space="preserve">Показатель Качества подтвержден Исполнителем (Тест-Аналитиком) следующими артефактами: результатами тестирования правил аутентификации на основании Технического Задания.
Из 15 правил реализовано 14.
Не поддерживается правило "2.11 Возможность блокировки учетной записи на определенный интервал времени", т.к. у вендора Greendata нет такой технической возможности.</t>
  </si>
  <si>
    <t xml:space="preserve">Не возможно измерить Подхарактеристику качества. Нет возможности получить результаты тестирования на проверку Корректности Механизма Аутентификации, ввиду отсутствия профильного ресурса</t>
  </si>
  <si>
    <t xml:space="preserve">Все заявленные правила аутентификации разработаны и протестированы</t>
  </si>
  <si>
    <t xml:space="preserve">Не возможно измерить Подхарактеристику качества. Нет возможности получить результаты тестирования на проверку соответствия  реализованных правил аутентификации Техническому Заданию ввиду отсутствия ресурса Исполнителя (Тест-Аналитика).»</t>
  </si>
  <si>
    <t xml:space="preserve">Все предусмотренные правила аутентификации реализованы и протестирован</t>
  </si>
  <si>
    <t xml:space="preserve">Затруднено получение Артефактов о проверке правил аутентификации. Процесс фиксирования Протокол Тестирования либо Тест-кейсов на проверку реализации правил аутентификации отсутсвует</t>
  </si>
  <si>
    <t xml:space="preserve">1. Опытная эксплуатация</t>
  </si>
  <si>
    <t xml:space="preserve">Безопасность. </t>
  </si>
  <si>
    <t xml:space="preserve">Реализация Ролевой Модели на ИС</t>
  </si>
  <si>
    <t xml:space="preserve">Общее количество ролей в ролевой модели - 8, реализованных ролей в Ролевой модели - 8.</t>
  </si>
  <si>
    <t xml:space="preserve">Показатель Качества подтвержден Исполнителем (Тест-Аналитиком)  следующими артефактами: протоколы тестирования ролевой модели и Техническое задание. 
Все роли реализованы и протестированы автотестами и вручную на функциональном тестировании и тестировании безопасности.</t>
  </si>
  <si>
    <t xml:space="preserve">Невозможно измерить Подхарактеристику качества ввиду отсутствия профильного ресурса.</t>
  </si>
  <si>
    <t xml:space="preserve">Показатель Качества Невозможно измерить, не подтвержден Исполнителем (Тест-Аналитиком),  следующими артефактами: 
1. Нет Технического задания
2. Отсутствуют результаты тестирования Ролевой Модели</t>
  </si>
  <si>
    <t xml:space="preserve">Число реализованных ролей по Ролевой Модели совпадает с числом, необходимых для реализации ролей</t>
  </si>
  <si>
    <t xml:space="preserve">На проект 100799 ресурс ТА не закладывался https://jira.psbnk.msk.ru/browse/SPPI-16255. На ИС отсутствует выделенный ресурс тест-аналитика. Невозможно измерить Подхарактеристику качества ввиду отсутствия согласованных Описания ролевой модели и Карты достуна на момент окончания рассматриваемого периода.
Тест-кейсы для проверки ролевой модели (966 шт) https://tsit-app1/projects/1027175/tests?isolatedSection=441ff1f0-9284-4200-a978-b37678d81e4e</t>
  </si>
  <si>
    <t xml:space="preserve">Невозможно измерить Подхарактеристику качества ввиду отсутствия согласованной карты доступа для контура прод. согласно ТЗ и Описанию ролевой модели необходимо реализовать 8 Ролей Пользователей.
Согласно описанию в задаче OE-742077 Ввод в опытную эксплуатацию (ПСБ ID, IS 000372), п 20 https://alm.headoffice.psbank.local/sd/operator/#uuid:GMtask$63538707 карта доступа &lt;прод&gt; не требуется. Система не передается в ДСИТ на время ОЭ.
В наличии только согласованая карта доступа для контура Test:
https://kms.headoffice.psbank.local/content/space/1737/wiki/703206</t>
  </si>
  <si>
    <t xml:space="preserve">Общее количество пользовательских ролей в ролевой модели - 2, реализованных и подтвержденных фактом тестирования ролей - 2, администратор приложиения и администратор ИБ, у которых есть доступ к интерфейсной части системы. Все остальные роли непосредственного доступа к ПО не имеют, являются чисто техническими. </t>
  </si>
  <si>
    <t xml:space="preserve">На проект 100565 заложен ресурс ТА нhttps://jira.psbnk.msk.ru/browse/SPPI-10436. 
На ИС отсутствует выделенный ресурс тест-аналитика. Невозможно измерить Подхарактеристику качества ввиду отсутствия согласованных Описания ролевой модели и Карты достуна на момент окончания рассматриваемого периода.
Тест-кейсы для проверки ролевой модели (47 шт) https://tsit-app1/projects/1332839/tests?isolatedSection=9c514f76-aa0b-4c25-b14a-0db79ce80538</t>
  </si>
  <si>
    <t xml:space="preserve">В некоторых случаях  результаты тестирования Ролевой Модели незафиксированы, поэтому подтвердить корретность реализации Требований не представляется возможным, ТЗ не всегда отражает Требования реализации Ролевой Модели.</t>
  </si>
  <si>
    <t xml:space="preserve">1. Промышленная эксплуатация</t>
  </si>
  <si>
    <t xml:space="preserve">Невозможно измерить Подхарактеристику качества ввиду не предоставления результатов тестирования, подтверждающих реализацию ролевой модели в соответствии с Техническим Заданием, профильным ресурсом</t>
  </si>
  <si>
    <t xml:space="preserve">Общее количество ролей в ролевой модели - 16, реализованных ролей в Ролевой модели - 16.</t>
  </si>
  <si>
    <t xml:space="preserve">Общее количество ролей в ролевой модели - 21, реализованных ролей в Ролевой модели - 19. Были добавлены 2 новые роли: Сотрудник ГО и Сотрудник ГО (только чтение).
Заявка на новую УКД: https://itsm-web01.headoffice.psbank.local/sd/tasks/calls?callNumber=714119&amp;page=imChat&amp;messageId=46aa02a7-0416-440f-b034-600e5b7edc0e Согласованы две новые роли. Но разработка и тестирование по ним еще не начались. Задача приостановлена бизнесом</t>
  </si>
  <si>
    <t xml:space="preserve">За анлизируемый период все необходимые пользовательские роли реализованы.
Из 64 ролей согласовано в КД 63 роли (64 роль это "Шаблон ГОЗ" - в КД не выделена в отдельную роль, она входит в состав ГОЗ ролей (кроме ролей ГОЗ СЦА) - её убрали из карты доступа как отдельную выделенную роль по совету ОУПД).
Роль "Шаблон ГОЗ" входит в состав ролей: 
Руководитель по ГОЗ 
Контролер ГОЗ
 ГОЗ. Просмотр
Сотрудник ГОЗ 
Сотрудник Фронт-офиса ГОЗ 
Сотрудник СЦ ГОЗ</t>
  </si>
  <si>
    <t xml:space="preserve">Не возможно измерить Подхарактеристику качества ввиду отсутствия информации о том, кто является бизнес-заказчиком</t>
  </si>
  <si>
    <t xml:space="preserve">Невозможно измерить Подхарактеристику качества. Нет возможности получить результаты тестирования на проверку соответствия  реализации ролевой модели Техническому Заданию, ввиду отсутствия профильного ресурса</t>
  </si>
  <si>
    <t xml:space="preserve">Показатель Качества подтвержден Исполнителем (Тест-Аналитиком) следующими артефактами: протоколы тестирования ролевой модели, Техническое задание, Карта доступов. 
Реализованы и протестированы все 15 проектных ролей.</t>
  </si>
  <si>
    <t xml:space="preserve">Реализованы все роли, предусмотреные картой доступа</t>
  </si>
  <si>
    <t xml:space="preserve">Общее количество ролей в ролевой модели - 9, реализованных ролей в Ролевой модели - 8. Добавлена роль Администратор, работы по тестированию данной роли запланированы на 1 квартал 2026 года.</t>
  </si>
  <si>
    <t xml:space="preserve">Не возможно измерить Подхарактеристику качества. Нет требований реализации Ролевой модели на ИС.</t>
  </si>
  <si>
    <t xml:space="preserve">Ролевая модель разработана давно, ее успешно пользуются, проблем с ней в последние годы не возникало. Единственный минус - нет отдельной укд на контур dev </t>
  </si>
  <si>
    <t xml:space="preserve">Все заявленные роли разработаны и протестированы</t>
  </si>
  <si>
    <t xml:space="preserve">Число необходимых ролей для реализации Ролевой Модели совпадает с числом реализованных (на основании КД и Описания РМ)</t>
  </si>
  <si>
    <t xml:space="preserve">Невозможно измерить Подхарактеристику качества. На текущий момент ролевая модель по ИС "ПСБ Бизнес" в процессе реализации и согласования</t>
  </si>
  <si>
    <t xml:space="preserve">РЕАЛИЗАЦИЯ РОЛЕВОЙ МОДЕЛИ ИС</t>
  </si>
  <si>
    <t xml:space="preserve">1. Опытная Эксплуатация</t>
  </si>
  <si>
    <t xml:space="preserve">Удобство использования. Показатели полноты описания</t>
  </si>
  <si>
    <t xml:space="preserve">Полнота описания  Руководства Пользователя</t>
  </si>
  <si>
    <t xml:space="preserve">Со стороны заказчика получено подтверждение, что "Руководство пользователя" имеет достаточное описание и  документ информативен и актуален.
На текущий момент расширение документа дополнительными сценариями не требуется.</t>
  </si>
  <si>
    <t xml:space="preserve">Пользователи оценили, что информационной системой пользоваться удобно, она работает быстро и интуитивно понятно. Но Руководство пользователя нуждается в актуализации.</t>
  </si>
  <si>
    <t xml:space="preserve">Показатель Качества не подтвержден «Показатель Качества не подтвержден Исполнителем следующими Артефактами: Трассировкой Требований  и Техническим Заданием.</t>
  </si>
  <si>
    <t xml:space="preserve">Невозможно измерить Подхарактеристику Качества ввиду не предоставления информации без объяснения причин.</t>
  </si>
  <si>
    <t xml:space="preserve">Не возможно измерить Подхарактеристику Качества ввиду не предоставления информации профильным ресурсом. На проекте 5 Руководств Пользователей. Со стороны бизнеса было заявлено, что РП пойдут на анализ после реализации заключительной части функционала (с внесением в РП это части)    </t>
  </si>
  <si>
    <t xml:space="preserve">Невозможно измерить Подхарактеристику Качества ввиду не предоставления информации представителем Заказчика без объяснения причин.</t>
  </si>
  <si>
    <t xml:space="preserve">Невозможно измерить Подхарактеристику качества: руководство пользователя в процессе правки по информации от РП.</t>
  </si>
  <si>
    <t xml:space="preserve">Невозможно измерить Подхарактеристику качества ввиду отсутствия профильного ресурса, имеющего возможность предоставить данные.</t>
  </si>
  <si>
    <t xml:space="preserve">ПОЛНОТА ОПИСАНИЯ РУКОВОДСТВА ПОЛЬЗОВАТЕЛЯ</t>
  </si>
  <si>
    <t xml:space="preserve">Информация не предоставляется и игнорируется лицами, которым направяется запрос (Заказчики, Руководители Проектов)</t>
  </si>
  <si>
    <t xml:space="preserve">Показатель Качества повышен относительно Аттестационного листа, т.к .Получена обратная связь, что реальным пользователям данное руководство предоставлено, оно актуализируется последними доработками, негативной  обратной связи не было. Показатель качества не подтвержден Исполнителем следующими Артефактами: Трассировкой Требований по причине ее отсутствия. </t>
  </si>
  <si>
    <t xml:space="preserve">Согласно Оценке Руководства пользователя ответсвенным за инциативу полнота описания соответствует 100%.</t>
  </si>
  <si>
    <t xml:space="preserve">Низкий  уровень</t>
  </si>
  <si>
    <t xml:space="preserve">Руководстве Пользователя требует актуализации в части описания реализованного функционала на продуктивной среде (в работе).</t>
  </si>
  <si>
    <t xml:space="preserve">Получена обратная связь от пользователей. 
На текущий момент  Руководство пользователя не актуально. Отсутствуют изменения инициированные ДЗО. Расширение документа дополнительными сценариями в части ДЗО для PSB Факторинг (компания) не требуется ввиду ИЗ ДЗО. 
В части PSB Факторинг (банк) требуется актуализация, т.к. не отражены изменения выполненные после 2019г., а также указан функционал, который является устаревшим и не используется пользователями в реальном времени.</t>
  </si>
  <si>
    <t xml:space="preserve">Замечаний к "Руководству пользователя" нет, на текущий момент оно информативно и актуально. Дополнительные сценарии в нем не требуются.</t>
  </si>
  <si>
    <t xml:space="preserve">Получен комментарий от бизнес-пользователя, замечаний к реализации нет.</t>
  </si>
  <si>
    <t xml:space="preserve">Со стороны заказчика получено подтверждение, что "Руководство пользователя" информативно, не требуется расширения сценариев, но требует актуализации и сравнения с обновленной Ролевой моделью</t>
  </si>
  <si>
    <t xml:space="preserve">Невозможно измерить Подхарактеристику Качества ввиду не предоставления информации профильным ресурсом по причине "невозможности определения контактного лица"</t>
  </si>
  <si>
    <t xml:space="preserve">Показатель Качества не подтвержден «Показатель Качества не подтвержден Исполнителем следующими Артефактами: Трассировкой Требований.</t>
  </si>
  <si>
    <t xml:space="preserve">Показатель качества не подтвержден Исполнителем следующими Артефактами: Трассировкой Требований и Техническим заданием.</t>
  </si>
  <si>
    <t xml:space="preserve">Не возможно измерить Подхарактеристику Качества ввиду не предоставления информации профильным ресурсом</t>
  </si>
  <si>
    <t xml:space="preserve">Данная подхарактеристика качества не применима, так как это шлюз СБП и у системы нет пользователей.</t>
  </si>
  <si>
    <t xml:space="preserve">Подхарактеристика качества имеет высокий уровень,исходя из оценки руководство пользователем , представителем заказчика.</t>
  </si>
  <si>
    <t xml:space="preserve">Не возможно измерить Подхарактеристику качества ввиду отсутствия ресурса Исполнителя </t>
  </si>
  <si>
    <t xml:space="preserve">В Руководстве пользователя описано использование следующих модулей: 
"Задачи", 
"Счета", 
"Контракты", 
"Контрагенты", 
"Отправка", 
"Мониторинг", 
"Настройки", 
"Генератор отчетов", 
"Договоры", 
"Логистика" - 10 модулей.  
Было найдено ТЗ на разработку следующих модулей: 
"Задачи", 
"Контрагенты", 
"Контракты", 
"Мониторинг", 
"Генератор отчетов", 
"Тарифы", 
"Настройки", 
"Отправка", 
"Реестр счетов" - 9 модулей. 
Несмотря на то, что в оглавлении модуль "Тарифы" не упоминается, описание этого модуля присутствует в руководстве пользователя. Так как реализация найденных технических заданий присутствует в руководстве пользователя, считаю, этот документ полным.</t>
  </si>
  <si>
    <t xml:space="preserve">Показатель Качества не подтвержден «Показатель Качества не подтвержден Исполнителем следующими Артефактами: Трассировкой Требований  и Техническим Заданием .</t>
  </si>
  <si>
    <t xml:space="preserve">Руководства пользователя есть.
https://confluence.psbnk.msk.ru/pages/viewpage.action?pageId=435185079
https://kms.headoffice.psbank.local/content/space/2372/wiki/640194
Последняя версия датируется августом 2025г. Это версия, которая была отправлена вендором в команду. 
После этого - актуализацией РП занимается сама команда. 
Бизнес подразделение, которое принимало РП, на текущий момент не следит за актуальностью РП, ответить на вопросы актуальности РП затрудняются</t>
  </si>
  <si>
    <t xml:space="preserve">По словам коллег, занимающихся развитием системы, руководство пользователя на системе присутсвует и является актуальным</t>
  </si>
  <si>
    <t xml:space="preserve">Не возможно измерить Подхарактеристику Качества ввиду не предоставления информации Исполнителем</t>
  </si>
  <si>
    <t xml:space="preserve">Не возможно измерить Подхарактеристику Качества ввиду не предоставления информации Исполнителем </t>
  </si>
  <si>
    <t xml:space="preserve">Бизнес удовлетворён полнотой руководства пользователя</t>
  </si>
  <si>
    <t xml:space="preserve">Невозможно измерить Подхарактеристику Качества так как на системе "ПСБ Бизнес" владельцем системы было принято решение отказаться от руководства пользователя. 
Комментарий по причинам отказа:
1. реализация интуитивно понятного интерфейса, весь новый функционал перед запуском проходит исследование на респондентах (клиентах банка ПСБ и не ПСБ)
2. Ежегодное участие в независимых рейтингах, где основная часть исследований построена на оценке клиентского опыта и сравнения с рынком конкурентов. 
3. Актуализация руководства пользователей  требует дополнительные ресурсов каждый релиз (Бизнес заказчик на это не готов).</t>
  </si>
  <si>
    <t>ВС</t>
  </si>
  <si>
    <t xml:space="preserve">Средний уровень Показателя фиксируется по большей части ввиду того, что отсутствует возможность получить обратную связь от пользователей и заказчиков об аткульности Руководства Пользователя.</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</si>
</sst>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6">
    <font>
      <sz val="11.000000"/>
      <color theme="1"/>
      <name val="Calibri"/>
      <scheme val="minor"/>
    </font>
    <font>
      <sz val="11.000000"/>
      <color rgb="FF9C6500"/>
      <name val="Calibri"/>
      <scheme val="minor"/>
    </font>
    <font>
      <sz val="11.000000"/>
      <color rgb="FF006100"/>
      <name val="Calibri"/>
      <scheme val="minor"/>
    </font>
    <font>
      <b/>
      <sz val="16.000000"/>
      <color theme="1"/>
      <name val="Times New Roman"/>
    </font>
    <font>
      <b/>
      <sz val="15.000000"/>
      <color theme="1"/>
      <name val="Times New Roman"/>
    </font>
    <font>
      <sz val="11.000000"/>
      <color theme="1"/>
      <name val="Times New Roman"/>
    </font>
    <font>
      <b/>
      <sz val="11.000000"/>
      <color theme="1"/>
      <name val="Times New Roman"/>
    </font>
    <font>
      <u/>
      <sz val="11.000000"/>
      <color theme="10"/>
      <name val="Calibri"/>
    </font>
    <font>
      <b/>
      <u/>
      <sz val="11.000000"/>
      <name val="Calibri"/>
    </font>
    <font>
      <b/>
      <sz val="12.000000"/>
      <color theme="1"/>
      <name val="Times New Roman"/>
    </font>
    <font>
      <b/>
      <sz val="11.000000"/>
      <color theme="1"/>
      <name val="Calibri"/>
      <scheme val="minor"/>
    </font>
    <font>
      <sz val="12.000000"/>
      <color theme="1"/>
      <name val="Tinos"/>
    </font>
    <font>
      <sz val="11.000000"/>
      <color theme="1"/>
      <name val="Tinos"/>
    </font>
    <font>
      <sz val="12.000000"/>
      <name val="Tinos"/>
    </font>
    <font>
      <sz val="12.000000"/>
      <color theme="1" tint="0"/>
      <name val="Tinos"/>
    </font>
    <font>
      <sz val="11.000000"/>
      <name val="Calibri"/>
    </font>
    <font>
      <sz val="11.000000"/>
      <color rgb="FF323232"/>
      <name val="Tinos"/>
    </font>
    <font>
      <sz val="11.000000"/>
      <color rgb="FF172B4D"/>
      <name val="Tinos"/>
    </font>
    <font>
      <sz val="12.000000"/>
      <color rgb="FF172B4D"/>
      <name val="Tinos"/>
    </font>
    <font>
      <sz val="12.000000"/>
      <color rgb="FF323232"/>
      <name val="Tinos"/>
    </font>
    <font>
      <sz val="11.000000"/>
      <name val="Roboto"/>
    </font>
    <font>
      <b/>
      <sz val="14.000000"/>
      <color theme="1"/>
      <name val="Tinos"/>
    </font>
    <font>
      <b/>
      <sz val="14.000000"/>
      <color rgb="FF323232"/>
      <name val="Tinos"/>
    </font>
    <font>
      <b/>
      <sz val="14.000000"/>
      <name val="Tinos"/>
    </font>
    <font>
      <b/>
      <sz val="16.000000"/>
      <color theme="1"/>
      <name val="Tinos"/>
    </font>
    <font>
      <b/>
      <sz val="12.000000"/>
      <color theme="1"/>
      <name val="Tinos"/>
    </font>
    <font>
      <sz val="11.000000"/>
      <name val="Times New Roman"/>
    </font>
    <font>
      <sz val="12.000000"/>
      <name val="Times New Roman"/>
    </font>
    <font>
      <sz val="12.000000"/>
      <color theme="1"/>
      <name val="Times New Roman"/>
    </font>
    <font>
      <sz val="11.000000"/>
      <name val="Tinos"/>
    </font>
    <font>
      <b/>
      <sz val="11.000000"/>
      <name val="Tinos"/>
    </font>
    <font>
      <sz val="11.000000"/>
      <color theme="1"/>
      <name val="Tahoma"/>
    </font>
    <font>
      <b/>
      <sz val="12.000000"/>
      <name val="Tinos"/>
    </font>
    <font>
      <b/>
      <sz val="10.000000"/>
      <color theme="1" tint="0"/>
      <name val="Times New Roman"/>
    </font>
    <font>
      <b/>
      <sz val="11.000000"/>
      <color theme="1" tint="0"/>
      <name val="Tinos"/>
    </font>
    <font>
      <sz val="11.000000"/>
      <color theme="1" tint="0"/>
      <name val="Tinos"/>
    </font>
    <font>
      <b/>
      <sz val="10.000000"/>
      <name val="Times New Roman"/>
    </font>
    <font>
      <b/>
      <sz val="12.000000"/>
      <color theme="1" tint="0"/>
      <name val="Tinos"/>
    </font>
    <font>
      <sz val="10.000000"/>
      <name val="Times New Roman"/>
    </font>
    <font>
      <sz val="12.000000"/>
      <name val="PT Astra Serif"/>
    </font>
    <font>
      <b/>
      <sz val="11.000000"/>
      <color theme="1"/>
      <name val="Tinos"/>
    </font>
    <font>
      <sz val="11.000000"/>
      <color indexed="2"/>
      <name val="Calibri"/>
      <scheme val="minor"/>
    </font>
    <font>
      <sz val="10.000000"/>
      <color theme="1"/>
      <name val="Times New Roman"/>
    </font>
    <font>
      <sz val="10.000000"/>
      <color theme="1" tint="0"/>
      <name val="Times New Roman"/>
    </font>
    <font>
      <b/>
      <sz val="10.000000"/>
      <color theme="1" tint="0"/>
      <name val="Tinos"/>
    </font>
    <font>
      <b/>
      <sz val="11.000000"/>
      <color theme="1" tint="0"/>
      <name val="Times New Roman"/>
    </font>
    <font>
      <b/>
      <sz val="11.000000"/>
      <color theme="1" tint="0"/>
      <name val="Calibri"/>
      <scheme val="minor"/>
    </font>
    <font>
      <b/>
      <sz val="10.000000"/>
      <name val="Tinos"/>
    </font>
    <font>
      <sz val="10.000000"/>
      <name val="Tinos"/>
    </font>
    <font>
      <sz val="10.000000"/>
      <color theme="1" tint="0"/>
      <name val="Tinos"/>
    </font>
    <font>
      <b/>
      <sz val="11.000000"/>
      <color theme="1"/>
      <name val="Tahoma"/>
    </font>
    <font>
      <sz val="11.000000"/>
      <name val="Calibri"/>
      <scheme val="minor"/>
    </font>
    <font>
      <sz val="12.000000"/>
      <color theme="1"/>
      <name val="Calibri"/>
      <scheme val="minor"/>
    </font>
    <font>
      <sz val="12.000000"/>
      <name val="Arial"/>
    </font>
    <font>
      <sz val="12.000000"/>
      <color theme="1"/>
      <name val="Times new Roman"/>
    </font>
    <font>
      <sz val="12.000000"/>
      <color theme="1"/>
      <name val="PT Astra Serif"/>
    </font>
    <font>
      <b/>
      <vertAlign val="subscript"/>
      <sz val="12.000000"/>
      <color theme="1"/>
      <name val="Tinos"/>
    </font>
    <font>
      <b/>
      <vertAlign val="subscript"/>
      <sz val="12.000000"/>
      <name val="Tinos"/>
    </font>
    <font>
      <b/>
      <vertAlign val="subscript"/>
      <sz val="11.000000"/>
      <color theme="1"/>
      <name val="Calibri"/>
      <scheme val="minor"/>
    </font>
    <font>
      <vertAlign val="subscript"/>
      <sz val="11.000000"/>
      <color theme="1"/>
      <name val="Tinos"/>
    </font>
    <font>
      <sz val="11.000000"/>
      <name val="PT Astra Serif"/>
    </font>
    <font>
      <sz val="11.000000"/>
      <color theme="1" tint="0"/>
      <name val="Times New Roman"/>
    </font>
    <font>
      <sz val="11.000000"/>
      <color theme="1" tint="0.049989318521683403"/>
      <name val="Tinos"/>
    </font>
    <font>
      <sz val="10.000000"/>
      <color theme="1"/>
      <name val="Tinos"/>
    </font>
    <font>
      <b/>
      <sz val="11.000000"/>
      <name val="Times New Roman"/>
    </font>
    <font>
      <sz val="11.000000"/>
      <color indexed="2"/>
      <name val="Tinos"/>
    </font>
  </fonts>
  <fills count="20">
    <fill>
      <patternFill patternType="none"/>
    </fill>
    <fill>
      <patternFill patternType="gray125"/>
    </fill>
    <fill>
      <patternFill patternType="solid">
        <fgColor rgb="FFFFEB9C"/>
        <bgColor rgb="FFFFEB9C"/>
      </patternFill>
    </fill>
    <fill>
      <patternFill patternType="solid">
        <fgColor rgb="FFC6EFCE"/>
        <bgColor rgb="FFC6EFCE"/>
      </patternFill>
    </fill>
    <fill>
      <patternFill patternType="solid">
        <fgColor theme="0" tint="0"/>
        <bgColor theme="0" tint="0"/>
      </patternFill>
    </fill>
    <fill>
      <patternFill patternType="solid">
        <fgColor theme="0" tint="-0.249977111117893"/>
        <bgColor theme="0" tint="-0.249977111117893"/>
      </patternFill>
    </fill>
    <fill>
      <patternFill patternType="solid">
        <fgColor theme="5" tint="0"/>
        <bgColor theme="5" tint="0"/>
      </patternFill>
    </fill>
    <fill>
      <patternFill patternType="solid">
        <fgColor indexed="5"/>
        <bgColor indexed="5"/>
      </patternFill>
    </fill>
    <fill>
      <patternFill patternType="solid">
        <fgColor rgb="FF92D050"/>
        <bgColor rgb="FF92D050"/>
      </patternFill>
    </fill>
    <fill>
      <patternFill patternType="solid">
        <fgColor rgb="FF00B050"/>
        <bgColor rgb="FF00B050"/>
      </patternFill>
    </fill>
    <fill>
      <patternFill patternType="solid">
        <fgColor indexed="2"/>
        <bgColor indexed="2"/>
      </patternFill>
    </fill>
    <fill>
      <patternFill patternType="solid">
        <fgColor theme="0" tint="-0.14999847407452621"/>
        <bgColor theme="0" tint="-0.14999847407452621"/>
      </patternFill>
    </fill>
    <fill>
      <patternFill patternType="solid">
        <fgColor theme="9" tint="0"/>
        <bgColor theme="9" tint="0"/>
      </patternFill>
    </fill>
    <fill>
      <patternFill patternType="solid">
        <fgColor theme="9" tint="0.59999389629810485"/>
        <bgColor theme="9" tint="0.59999389629810485"/>
      </patternFill>
    </fill>
    <fill>
      <patternFill patternType="solid">
        <fgColor theme="0" tint="-0.499984740745262"/>
        <bgColor theme="0" tint="-0.499984740745262"/>
      </patternFill>
    </fill>
    <fill>
      <patternFill patternType="solid">
        <fgColor theme="4" tint="0"/>
        <bgColor theme="4" tint="0"/>
      </patternFill>
    </fill>
    <fill>
      <patternFill patternType="solid">
        <fgColor theme="0" tint="-0.34998626667073579"/>
        <bgColor theme="0" tint="-0.34998626667073579"/>
      </patternFill>
    </fill>
    <fill>
      <patternFill patternType="solid">
        <fgColor rgb="FF0070C0"/>
        <bgColor rgb="FF0070C0"/>
      </patternFill>
    </fill>
    <fill>
      <patternFill patternType="solid">
        <fgColor theme="2" tint="0"/>
        <bgColor theme="2" tint="0"/>
      </patternFill>
    </fill>
    <fill>
      <patternFill patternType="solid">
        <fgColor theme="0" tint="-0.049989318521683403"/>
        <bgColor theme="0" tint="-0.049989318521683403"/>
      </patternFill>
    </fill>
  </fills>
  <borders count="17">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none"/>
      <right style="thin">
        <color theme="1"/>
      </right>
      <top style="thin">
        <color theme="1"/>
      </top>
      <bottom style="thin">
        <color theme="1"/>
      </bottom>
      <diagonal style="none"/>
    </border>
    <border>
      <left style="none"/>
      <right style="none"/>
      <top style="thin">
        <color theme="1"/>
      </top>
      <bottom style="thin">
        <color theme="1"/>
      </bottom>
      <diagonal style="none"/>
    </border>
    <border>
      <left style="thin">
        <color theme="1"/>
      </left>
      <right style="thin">
        <color theme="1"/>
      </right>
      <top style="none"/>
      <bottom style="thin">
        <color theme="1"/>
      </bottom>
      <diagonal style="none"/>
    </border>
    <border>
      <left style="none"/>
      <right style="thin">
        <color theme="1"/>
      </right>
      <top style="none"/>
      <bottom style="thin">
        <color theme="1"/>
      </bottom>
      <diagonal style="none"/>
    </border>
    <border>
      <left style="thin">
        <color theme="1"/>
      </left>
      <right style="none"/>
      <top style="none"/>
      <bottom style="thin">
        <color theme="1"/>
      </bottom>
      <diagonal style="none"/>
    </border>
    <border>
      <left style="none"/>
      <right style="thin">
        <color theme="1"/>
      </right>
      <top style="none"/>
      <bottom style="none"/>
      <diagonal style="none"/>
    </border>
    <border>
      <left style="thin">
        <color theme="1"/>
      </left>
      <right style="none"/>
      <top style="none"/>
      <bottom style="none"/>
      <diagonal style="none"/>
    </border>
    <border>
      <left style="thin">
        <color theme="1"/>
      </left>
      <right style="thin">
        <color theme="1"/>
      </right>
      <top style="thin">
        <color theme="1"/>
      </top>
      <bottom style="none"/>
      <diagonal style="none"/>
    </border>
    <border>
      <left style="thin">
        <color theme="1"/>
      </left>
      <right style="thin">
        <color theme="1"/>
      </right>
      <top style="none"/>
      <bottom style="none"/>
      <diagonal style="none"/>
    </border>
    <border>
      <left style="none"/>
      <right style="none"/>
      <top style="none"/>
      <bottom style="thin">
        <color theme="1"/>
      </bottom>
      <diagonal style="none"/>
    </border>
    <border>
      <left style="none"/>
      <right style="thin">
        <color auto="1"/>
      </right>
      <top style="thin">
        <color auto="1"/>
      </top>
      <bottom style="none"/>
      <diagonal style="none"/>
    </border>
    <border>
      <left style="thin">
        <color theme="1"/>
      </left>
      <right style="none"/>
      <top style="thin">
        <color theme="1"/>
      </top>
      <bottom style="none"/>
      <diagonal style="none"/>
    </border>
    <border>
      <left style="none"/>
      <right style="none"/>
      <top style="thin">
        <color theme="1"/>
      </top>
      <bottom style="none"/>
      <diagonal style="none"/>
    </border>
    <border>
      <left style="none"/>
      <right style="thin">
        <color theme="1"/>
      </right>
      <top style="thin">
        <color theme="1"/>
      </top>
      <bottom style="none"/>
      <diagonal style="none"/>
    </border>
  </borders>
  <cellStyleXfs count="3">
    <xf fontId="0" fillId="0" borderId="0" numFmtId="0" applyNumberFormat="1" applyFont="1" applyFill="1" applyBorder="1"/>
    <xf fontId="1" fillId="2" borderId="0" numFmtId="0" applyNumberFormat="0" applyFont="1" applyFill="1" applyBorder="0"/>
    <xf fontId="2" fillId="3" borderId="0" numFmtId="0" applyNumberFormat="0" applyFont="1" applyFill="1" applyBorder="0"/>
  </cellStyleXfs>
  <cellXfs count="842">
    <xf fontId="0" fillId="0" borderId="0" numFmtId="0" xfId="0"/>
    <xf fontId="3" fillId="4" borderId="0" numFmtId="0" xfId="0" applyFont="1" applyFill="1" applyAlignment="1">
      <alignment horizontal="center" vertical="top" wrapText="1"/>
    </xf>
    <xf fontId="4" fillId="4" borderId="0" numFmtId="0" xfId="0" applyFont="1" applyFill="1" applyAlignment="1">
      <alignment horizontal="center" vertical="top" wrapText="1"/>
    </xf>
    <xf fontId="0" fillId="0" borderId="0" numFmtId="0" xfId="0"/>
    <xf fontId="4" fillId="4" borderId="0" numFmtId="0" xfId="0" applyFont="1" applyFill="1" applyAlignment="1">
      <alignment horizontal="center"/>
    </xf>
    <xf fontId="5" fillId="4" borderId="0" numFmtId="0" xfId="0" applyFont="1" applyFill="1"/>
    <xf fontId="6" fillId="4" borderId="0" numFmtId="0" xfId="0" applyFont="1" applyFill="1" applyAlignment="1">
      <alignment horizontal="center"/>
    </xf>
    <xf fontId="7" fillId="4" borderId="0" numFmtId="0" xfId="0" applyFont="1" applyFill="1"/>
    <xf fontId="8" fillId="4" borderId="0" numFmtId="0" xfId="0" applyFont="1" applyFill="1"/>
    <xf fontId="9" fillId="4" borderId="1" numFmtId="0" xfId="0" applyFont="1" applyFill="1" applyBorder="1" applyAlignment="1">
      <alignment horizontal="left" vertical="top"/>
    </xf>
    <xf fontId="9" fillId="4" borderId="1" numFmtId="0" xfId="0" applyFont="1" applyFill="1" applyBorder="1" applyAlignment="1">
      <alignment horizontal="left" vertical="top" wrapText="1"/>
    </xf>
    <xf fontId="10" fillId="5" borderId="1" numFmtId="9" xfId="0" applyNumberFormat="1" applyFont="1" applyFill="1" applyBorder="1" applyAlignment="1">
      <alignment vertical="top" wrapText="1"/>
    </xf>
    <xf fontId="0" fillId="0" borderId="0" numFmtId="0" xfId="0">
      <protection hidden="0" locked="1"/>
    </xf>
    <xf fontId="11" fillId="4" borderId="1" numFmtId="0" xfId="0" applyFont="1" applyFill="1" applyBorder="1" applyAlignment="1">
      <alignment horizontal="left" vertical="top"/>
    </xf>
    <xf fontId="12" fillId="4" borderId="1" numFmtId="0" xfId="0" applyFont="1" applyFill="1" applyBorder="1" applyAlignment="1">
      <alignment wrapText="1"/>
    </xf>
    <xf fontId="13" fillId="6" borderId="1" numFmtId="9" xfId="0" applyNumberFormat="1" applyFont="1" applyFill="1" applyBorder="1" applyAlignment="1">
      <alignment horizontal="left" vertical="top"/>
    </xf>
    <xf fontId="11" fillId="6" borderId="2" numFmtId="0" xfId="0" applyFont="1" applyFill="1" applyBorder="1" applyAlignment="1">
      <alignment horizontal="left" vertical="top"/>
    </xf>
    <xf fontId="11" fillId="6" borderId="3" numFmtId="0" xfId="0" applyFont="1" applyFill="1" applyBorder="1" applyAlignment="1">
      <alignment horizontal="left" vertical="top"/>
    </xf>
    <xf fontId="14" fillId="4" borderId="1" numFmtId="0" xfId="0" applyFont="1" applyFill="1" applyBorder="1" applyAlignment="1">
      <alignment horizontal="left" vertical="top" wrapText="1"/>
    </xf>
    <xf fontId="13" fillId="4" borderId="1" numFmtId="0" xfId="0" applyFont="1" applyFill="1" applyBorder="1" applyAlignment="1">
      <alignment horizontal="left" vertical="top" wrapText="1"/>
    </xf>
    <xf fontId="15" fillId="0" borderId="1" numFmtId="9" xfId="0" applyNumberFormat="1" applyFont="1" applyBorder="1" applyAlignment="1">
      <alignment horizontal="left" vertical="top" wrapText="1"/>
    </xf>
    <xf fontId="16" fillId="4" borderId="1" numFmtId="0" xfId="0" applyFont="1" applyFill="1" applyBorder="1" applyAlignment="1">
      <alignment horizontal="left" vertical="top" wrapText="1"/>
    </xf>
    <xf fontId="0" fillId="0" borderId="1" numFmtId="9" xfId="0" applyNumberFormat="1" applyBorder="1" applyAlignment="1">
      <alignment vertical="top" wrapText="1"/>
    </xf>
    <xf fontId="17" fillId="0" borderId="1" numFmtId="0" xfId="0" applyFont="1" applyBorder="1" applyAlignment="1">
      <alignment horizontal="left" wrapText="1"/>
    </xf>
    <xf fontId="12" fillId="4" borderId="1" numFmtId="0" xfId="0" applyFont="1" applyFill="1" applyBorder="1" applyAlignment="1">
      <alignment wrapText="1"/>
      <protection hidden="0" locked="1"/>
    </xf>
    <xf fontId="13" fillId="6" borderId="1" numFmtId="9" xfId="0" applyNumberFormat="1" applyFont="1" applyFill="1" applyBorder="1" applyAlignment="1">
      <alignment horizontal="left" vertical="top" wrapText="1"/>
    </xf>
    <xf fontId="0" fillId="0" borderId="1" numFmtId="0" xfId="0" applyBorder="1" applyAlignment="1">
      <alignment vertical="top" wrapText="1"/>
      <protection hidden="0" locked="1"/>
    </xf>
    <xf fontId="16" fillId="0" borderId="1" numFmtId="0" xfId="0" applyFont="1" applyBorder="1" applyAlignment="1">
      <alignment horizontal="left" vertical="top" wrapText="1"/>
    </xf>
    <xf fontId="13" fillId="7" borderId="1" numFmtId="9" xfId="0" applyNumberFormat="1" applyFont="1" applyFill="1" applyBorder="1" applyAlignment="1">
      <alignment horizontal="left" vertical="top" wrapText="1"/>
    </xf>
    <xf fontId="11" fillId="7" borderId="2" numFmtId="0" xfId="0" applyFont="1" applyFill="1" applyBorder="1" applyAlignment="1">
      <alignment horizontal="left" vertical="top"/>
    </xf>
    <xf fontId="11" fillId="7" borderId="3" numFmtId="0" xfId="0" applyFont="1" applyFill="1" applyBorder="1" applyAlignment="1">
      <alignment horizontal="left" vertical="top"/>
    </xf>
    <xf fontId="18" fillId="4" borderId="1" numFmtId="0" xfId="0" applyFont="1" applyFill="1" applyBorder="1" applyAlignment="1">
      <alignment horizontal="left" wrapText="1"/>
    </xf>
    <xf fontId="13" fillId="8" borderId="1" numFmtId="9" xfId="0" applyNumberFormat="1" applyFont="1" applyFill="1" applyBorder="1" applyAlignment="1">
      <alignment horizontal="left" vertical="top" wrapText="1"/>
    </xf>
    <xf fontId="11" fillId="8" borderId="2" numFmtId="0" xfId="0" applyFont="1" applyFill="1" applyBorder="1" applyAlignment="1">
      <alignment horizontal="left" vertical="top" wrapText="1"/>
    </xf>
    <xf fontId="11" fillId="8" borderId="3" numFmtId="0" xfId="0" applyFont="1" applyFill="1" applyBorder="1" applyAlignment="1">
      <alignment horizontal="left" vertical="top" wrapText="1"/>
    </xf>
    <xf fontId="15" fillId="0" borderId="1" numFmtId="0" xfId="0" applyFont="1" applyBorder="1" applyAlignment="1">
      <alignment horizontal="left" vertical="top" wrapText="1"/>
      <protection hidden="0" locked="1"/>
    </xf>
    <xf fontId="19" fillId="4" borderId="1" numFmtId="0" xfId="0" applyFont="1" applyFill="1" applyBorder="1" applyAlignment="1">
      <alignment horizontal="left" vertical="top" wrapText="1"/>
    </xf>
    <xf fontId="13" fillId="9" borderId="1" numFmtId="9" xfId="0" applyNumberFormat="1" applyFont="1" applyFill="1" applyBorder="1" applyAlignment="1">
      <alignment horizontal="left" vertical="top"/>
    </xf>
    <xf fontId="13" fillId="9" borderId="2" numFmtId="0" xfId="0" applyFont="1" applyFill="1" applyBorder="1" applyAlignment="1">
      <alignment horizontal="left" vertical="top"/>
    </xf>
    <xf fontId="13" fillId="9" borderId="3" numFmtId="0" xfId="0" applyFont="1" applyFill="1" applyBorder="1" applyAlignment="1">
      <alignment horizontal="left" vertical="top"/>
    </xf>
    <xf fontId="14" fillId="4" borderId="0" numFmtId="0" xfId="0" applyFont="1" applyFill="1" applyAlignment="1">
      <alignment horizontal="left" vertical="top" wrapText="1"/>
    </xf>
    <xf fontId="19" fillId="0" borderId="1" numFmtId="0" xfId="0" applyFont="1" applyBorder="1" applyAlignment="1">
      <alignment horizontal="left" vertical="top" wrapText="1"/>
    </xf>
    <xf fontId="11" fillId="9" borderId="2" numFmtId="0" xfId="0" applyFont="1" applyFill="1" applyBorder="1" applyAlignment="1">
      <alignment horizontal="left" vertical="top"/>
    </xf>
    <xf fontId="11" fillId="9" borderId="3" numFmtId="0" xfId="0" applyFont="1" applyFill="1" applyBorder="1" applyAlignment="1">
      <alignment horizontal="left" vertical="top"/>
    </xf>
    <xf fontId="14" fillId="0" borderId="1" numFmtId="0" xfId="0" applyFont="1" applyBorder="1" applyAlignment="1">
      <alignment horizontal="left" vertical="top" wrapText="1"/>
    </xf>
    <xf fontId="20" fillId="0" borderId="1" numFmtId="0" xfId="0" applyFont="1" applyBorder="1" applyAlignment="1">
      <alignment vertical="top" wrapText="1"/>
    </xf>
    <xf fontId="0" fillId="4" borderId="0" numFmtId="0" xfId="0" applyFill="1"/>
    <xf fontId="21" fillId="7" borderId="1" numFmtId="0" xfId="0" applyFont="1" applyFill="1" applyBorder="1" applyAlignment="1">
      <alignment horizontal="left" vertical="top"/>
    </xf>
    <xf fontId="22" fillId="7" borderId="1" numFmtId="0" xfId="0" applyFont="1" applyFill="1" applyBorder="1" applyAlignment="1">
      <alignment horizontal="left" vertical="top" wrapText="1"/>
    </xf>
    <xf fontId="23" fillId="7" borderId="1" numFmtId="9" xfId="0" applyNumberFormat="1" applyFont="1" applyFill="1" applyBorder="1" applyAlignment="1">
      <alignment horizontal="left" vertical="top"/>
    </xf>
    <xf fontId="21" fillId="7" borderId="1" numFmtId="0" xfId="0" applyFont="1" applyFill="1" applyBorder="1" applyAlignment="1">
      <alignment horizontal="center" vertical="top"/>
    </xf>
    <xf fontId="0" fillId="4" borderId="0" numFmtId="0" xfId="0" applyFill="1">
      <protection hidden="0" locked="1"/>
    </xf>
    <xf fontId="21" fillId="4" borderId="1" numFmtId="0" xfId="0" applyFont="1" applyFill="1" applyBorder="1" applyAlignment="1">
      <alignment horizontal="left" vertical="top"/>
    </xf>
    <xf fontId="22" fillId="4" borderId="1" numFmtId="0" xfId="0" applyFont="1" applyFill="1" applyBorder="1" applyAlignment="1">
      <alignment horizontal="left" vertical="top" wrapText="1"/>
    </xf>
    <xf fontId="23" fillId="4" borderId="2" numFmtId="9" xfId="0" applyNumberFormat="1" applyFont="1" applyFill="1" applyBorder="1" applyAlignment="1">
      <alignment horizontal="left" vertical="top"/>
    </xf>
    <xf fontId="21" fillId="4" borderId="3" numFmtId="0" xfId="0" applyFont="1" applyFill="1" applyBorder="1" applyAlignment="1">
      <alignment horizontal="center" vertical="top"/>
    </xf>
    <xf fontId="21" fillId="4" borderId="2" numFmtId="0" xfId="0" applyFont="1" applyFill="1" applyBorder="1" applyAlignment="1">
      <alignment horizontal="center" vertical="top"/>
    </xf>
    <xf fontId="21" fillId="4" borderId="4" numFmtId="0" xfId="0" applyFont="1" applyFill="1" applyBorder="1" applyAlignment="1">
      <alignment horizontal="center" vertical="top"/>
    </xf>
    <xf fontId="22" fillId="4" borderId="2" numFmtId="0" xfId="0" applyFont="1" applyFill="1" applyBorder="1" applyAlignment="1">
      <alignment horizontal="center" vertical="top" wrapText="1"/>
    </xf>
    <xf fontId="22" fillId="4" borderId="4" numFmtId="0" xfId="0" applyFont="1" applyFill="1" applyBorder="1" applyAlignment="1">
      <alignment horizontal="center" vertical="top" wrapText="1"/>
    </xf>
    <xf fontId="22" fillId="4" borderId="3" numFmtId="0" xfId="0" applyFont="1" applyFill="1" applyBorder="1" applyAlignment="1">
      <alignment horizontal="center" vertical="top" wrapText="1"/>
    </xf>
    <xf fontId="24" fillId="5" borderId="1" numFmtId="0" xfId="0" applyFont="1" applyFill="1" applyBorder="1" applyAlignment="1">
      <alignment vertical="top"/>
    </xf>
    <xf fontId="25" fillId="5" borderId="1" numFmtId="0" xfId="0" applyFont="1" applyFill="1" applyBorder="1" applyAlignment="1">
      <alignment vertical="top" wrapText="1"/>
    </xf>
    <xf fontId="25" fillId="5" borderId="2" numFmtId="0" xfId="0" applyFont="1" applyFill="1" applyBorder="1" applyAlignment="1">
      <alignment horizontal="left" vertical="top" wrapText="1"/>
    </xf>
    <xf fontId="25" fillId="5" borderId="3" numFmtId="0" xfId="0" applyFont="1" applyFill="1" applyBorder="1" applyAlignment="1">
      <alignment horizontal="left" vertical="top" wrapText="1"/>
    </xf>
    <xf fontId="25" fillId="5" borderId="2" numFmtId="0" xfId="0" applyFont="1" applyFill="1" applyBorder="1" applyAlignment="1">
      <alignment horizontal="center" vertical="top"/>
    </xf>
    <xf fontId="25" fillId="5" borderId="4" numFmtId="0" xfId="0" applyFont="1" applyFill="1" applyBorder="1" applyAlignment="1">
      <alignment horizontal="center" vertical="top"/>
    </xf>
    <xf fontId="25" fillId="5" borderId="3" numFmtId="0" xfId="0" applyFont="1" applyFill="1" applyBorder="1" applyAlignment="1">
      <alignment horizontal="center" vertical="top"/>
    </xf>
    <xf fontId="0" fillId="0" borderId="1" numFmtId="0" xfId="0" applyBorder="1"/>
    <xf fontId="5" fillId="4" borderId="1" numFmtId="0" xfId="0" applyFont="1" applyFill="1" applyBorder="1" applyAlignment="1">
      <alignment horizontal="left" vertical="top" wrapText="1"/>
    </xf>
    <xf fontId="26" fillId="7" borderId="1" numFmtId="9" xfId="0" applyNumberFormat="1" applyFont="1" applyFill="1" applyBorder="1" applyAlignment="1">
      <alignment horizontal="left" vertical="top"/>
    </xf>
    <xf fontId="27" fillId="7" borderId="1" numFmtId="0" xfId="0" applyFont="1" applyFill="1" applyBorder="1" applyAlignment="1">
      <alignment horizontal="left" vertical="top" wrapText="1"/>
    </xf>
    <xf fontId="11" fillId="4" borderId="2" numFmtId="0" xfId="0" applyFont="1" applyFill="1" applyBorder="1" applyAlignment="1">
      <alignment horizontal="left" vertical="top" wrapText="1"/>
    </xf>
    <xf fontId="11" fillId="4" borderId="4" numFmtId="0" xfId="0" applyFont="1" applyFill="1" applyBorder="1" applyAlignment="1">
      <alignment horizontal="left" vertical="top" wrapText="1"/>
    </xf>
    <xf fontId="11" fillId="4" borderId="3" numFmtId="0" xfId="0" applyFont="1" applyFill="1" applyBorder="1" applyAlignment="1">
      <alignment horizontal="left" vertical="top" wrapText="1"/>
    </xf>
    <xf fontId="28" fillId="7" borderId="1" numFmtId="9" xfId="0" applyNumberFormat="1" applyFont="1" applyFill="1" applyBorder="1" applyAlignment="1">
      <alignment horizontal="left" vertical="top" wrapText="1"/>
    </xf>
    <xf fontId="5" fillId="8" borderId="1" numFmtId="9" xfId="0" applyNumberFormat="1" applyFont="1" applyFill="1" applyBorder="1" applyAlignment="1">
      <alignment horizontal="left" vertical="top" wrapText="1"/>
    </xf>
    <xf fontId="27" fillId="8" borderId="1" numFmtId="0" xfId="0" applyFont="1" applyFill="1" applyBorder="1" applyAlignment="1">
      <alignment horizontal="left" vertical="top" wrapText="1"/>
    </xf>
    <xf fontId="12" fillId="4" borderId="2" numFmtId="0" xfId="0" applyFont="1" applyFill="1" applyBorder="1" applyAlignment="1">
      <alignment horizontal="left" vertical="top" wrapText="1"/>
    </xf>
    <xf fontId="12" fillId="4" borderId="4" numFmtId="0" xfId="0" applyFont="1" applyFill="1" applyBorder="1" applyAlignment="1">
      <alignment horizontal="left" vertical="top" wrapText="1"/>
    </xf>
    <xf fontId="12" fillId="4" borderId="3" numFmtId="0" xfId="0" applyFont="1" applyFill="1" applyBorder="1" applyAlignment="1">
      <alignment horizontal="left" vertical="top" wrapText="1"/>
    </xf>
    <xf fontId="11" fillId="7" borderId="1" numFmtId="9" xfId="0" applyNumberFormat="1" applyFont="1" applyFill="1" applyBorder="1" applyAlignment="1">
      <alignment horizontal="left" vertical="top" wrapText="1"/>
    </xf>
    <xf fontId="0" fillId="0" borderId="1" numFmtId="0" xfId="0" applyBorder="1" applyAlignment="1">
      <alignment wrapText="1"/>
    </xf>
    <xf fontId="0" fillId="7" borderId="1" numFmtId="9" xfId="0" applyNumberFormat="1" applyFill="1" applyBorder="1" applyAlignment="1">
      <alignment horizontal="left" vertical="top"/>
    </xf>
    <xf fontId="0" fillId="7" borderId="1" numFmtId="0" xfId="0" applyFill="1" applyBorder="1" applyAlignment="1">
      <alignment vertical="top" wrapText="1"/>
    </xf>
    <xf fontId="12" fillId="0" borderId="2" numFmtId="0" xfId="0" applyFont="1" applyBorder="1" applyAlignment="1">
      <alignment horizontal="left" vertical="top" wrapText="1"/>
    </xf>
    <xf fontId="12" fillId="0" borderId="4" numFmtId="0" xfId="0" applyFont="1" applyBorder="1" applyAlignment="1">
      <alignment horizontal="left" vertical="top" wrapText="1"/>
    </xf>
    <xf fontId="12" fillId="0" borderId="3" numFmtId="0" xfId="0" applyFont="1" applyBorder="1" applyAlignment="1">
      <alignment horizontal="left" vertical="top" wrapText="1"/>
    </xf>
    <xf fontId="0" fillId="7" borderId="1" numFmtId="9" xfId="0" applyNumberFormat="1" applyFill="1" applyBorder="1" applyAlignment="1">
      <alignment horizontal="left" vertical="top" wrapText="1"/>
    </xf>
    <xf fontId="12" fillId="0" borderId="2" numFmtId="0" xfId="0" applyFont="1" applyBorder="1" applyAlignment="1">
      <alignment horizontal="left" wrapText="1"/>
    </xf>
    <xf fontId="12" fillId="0" borderId="4" numFmtId="0" xfId="0" applyFont="1" applyBorder="1" applyAlignment="1">
      <alignment horizontal="left" wrapText="1"/>
    </xf>
    <xf fontId="12" fillId="0" borderId="3" numFmtId="0" xfId="0" applyFont="1" applyBorder="1" applyAlignment="1">
      <alignment horizontal="left" wrapText="1"/>
    </xf>
    <xf fontId="0" fillId="6" borderId="1" numFmtId="9" xfId="0" applyNumberFormat="1" applyFill="1" applyBorder="1" applyAlignment="1">
      <alignment horizontal="left" vertical="top"/>
    </xf>
    <xf fontId="0" fillId="6" borderId="1" numFmtId="0" xfId="0" applyFill="1" applyBorder="1" applyAlignment="1">
      <alignment vertical="top" wrapText="1"/>
    </xf>
    <xf fontId="0" fillId="0" borderId="2" numFmtId="0" xfId="0" applyBorder="1" applyAlignment="1">
      <alignment horizontal="left" vertical="top" wrapText="1"/>
    </xf>
    <xf fontId="0" fillId="0" borderId="4" numFmtId="0" xfId="0" applyBorder="1" applyAlignment="1">
      <alignment horizontal="left" vertical="top" wrapText="1"/>
    </xf>
    <xf fontId="0" fillId="0" borderId="3" numFmtId="0" xfId="0" applyBorder="1" applyAlignment="1">
      <alignment horizontal="left" vertical="top" wrapText="1"/>
    </xf>
    <xf fontId="0" fillId="7" borderId="1" numFmtId="0" xfId="0" applyFill="1" applyBorder="1" applyAlignment="1">
      <alignment horizontal="left" vertical="top" wrapText="1"/>
    </xf>
    <xf fontId="0" fillId="0" borderId="1" numFmtId="0" xfId="0" applyBorder="1" applyAlignment="1">
      <alignment horizontal="left" wrapText="1"/>
    </xf>
    <xf fontId="0" fillId="10" borderId="1" numFmtId="9" xfId="0" applyNumberFormat="1" applyFill="1" applyBorder="1" applyAlignment="1">
      <alignment horizontal="left" vertical="top" wrapText="1"/>
    </xf>
    <xf fontId="0" fillId="10" borderId="1" numFmtId="0" xfId="0" applyFill="1" applyBorder="1" applyAlignment="1">
      <alignment horizontal="left" vertical="top" wrapText="1"/>
    </xf>
    <xf fontId="0" fillId="0" borderId="1" numFmtId="0" xfId="0" applyBorder="1" applyAlignment="1">
      <alignment horizontal="left" vertical="top"/>
    </xf>
    <xf fontId="0" fillId="0" borderId="0" numFmtId="0" xfId="0" applyAlignment="1">
      <alignment wrapText="1"/>
    </xf>
    <xf fontId="0" fillId="4" borderId="0" numFmtId="9" xfId="0" applyNumberFormat="1" applyFill="1" applyAlignment="1">
      <alignment horizontal="left" vertical="top" wrapText="1"/>
    </xf>
    <xf fontId="0" fillId="4" borderId="0" numFmtId="0" xfId="0" applyFill="1" applyAlignment="1">
      <alignment horizontal="left" vertical="top" wrapText="1"/>
    </xf>
    <xf fontId="0" fillId="0" borderId="0" numFmtId="0" xfId="0" applyAlignment="1">
      <alignment horizontal="left" vertical="top"/>
    </xf>
    <xf fontId="8" fillId="0" borderId="0" numFmtId="0" xfId="0" applyFont="1"/>
    <xf fontId="9" fillId="11" borderId="5" numFmtId="0" xfId="0" applyFont="1" applyFill="1" applyBorder="1" applyAlignment="1">
      <alignment horizontal="left" vertical="top"/>
    </xf>
    <xf fontId="9" fillId="11" borderId="1" numFmtId="0" xfId="0" applyFont="1" applyFill="1" applyBorder="1" applyAlignment="1">
      <alignment horizontal="left" vertical="top"/>
    </xf>
    <xf fontId="9" fillId="11" borderId="1" numFmtId="0" xfId="0" applyFont="1" applyFill="1" applyBorder="1" applyAlignment="1">
      <alignment horizontal="left" vertical="top" wrapText="1"/>
    </xf>
    <xf fontId="11" fillId="4" borderId="5" numFmtId="0" xfId="0" applyFont="1" applyFill="1" applyBorder="1" applyAlignment="1">
      <alignment horizontal="left" vertical="top" wrapText="1"/>
    </xf>
    <xf fontId="19" fillId="0" borderId="5" numFmtId="0" xfId="0" applyFont="1" applyBorder="1" applyAlignment="1">
      <alignment horizontal="left" vertical="top" wrapText="1"/>
    </xf>
    <xf fontId="13" fillId="10" borderId="5" numFmtId="9" xfId="0" applyNumberFormat="1" applyFont="1" applyFill="1" applyBorder="1" applyAlignment="1">
      <alignment horizontal="left" vertical="top" wrapText="1"/>
    </xf>
    <xf fontId="11" fillId="10" borderId="2" numFmtId="0" xfId="0" applyFont="1" applyFill="1" applyBorder="1" applyAlignment="1">
      <alignment horizontal="left" vertical="top" wrapText="1"/>
    </xf>
    <xf fontId="11" fillId="10" borderId="3" numFmtId="0" xfId="0" applyFont="1" applyFill="1" applyBorder="1" applyAlignment="1">
      <alignment horizontal="left" vertical="top" wrapText="1"/>
    </xf>
    <xf fontId="14" fillId="4" borderId="5" numFmtId="0" xfId="0" applyFont="1" applyFill="1" applyBorder="1" applyAlignment="1">
      <alignment horizontal="left" vertical="top" wrapText="1"/>
    </xf>
    <xf fontId="29" fillId="4" borderId="6" numFmtId="0" xfId="0" applyFont="1" applyFill="1" applyBorder="1" applyAlignment="1">
      <alignment horizontal="left" vertical="top" wrapText="1"/>
    </xf>
    <xf fontId="0" fillId="4" borderId="5" numFmtId="0" xfId="0" applyFill="1" applyBorder="1" applyAlignment="1">
      <alignment vertical="top" wrapText="1"/>
    </xf>
    <xf fontId="13" fillId="4" borderId="6" numFmtId="0" xfId="0" applyFont="1" applyFill="1" applyBorder="1" applyAlignment="1">
      <alignment horizontal="left" vertical="top" wrapText="1"/>
    </xf>
    <xf fontId="0" fillId="0" borderId="5" numFmtId="0" xfId="0" applyBorder="1" applyAlignment="1">
      <alignment vertical="top" wrapText="1"/>
      <protection hidden="0" locked="1"/>
    </xf>
    <xf fontId="16" fillId="0" borderId="5" numFmtId="0" xfId="0" applyFont="1" applyBorder="1" applyAlignment="1">
      <alignment horizontal="left" vertical="top" wrapText="1"/>
    </xf>
    <xf fontId="12" fillId="0" borderId="5" numFmtId="0" xfId="0" applyFont="1" applyBorder="1" applyAlignment="1">
      <alignment vertical="top" wrapText="1"/>
    </xf>
    <xf fontId="14" fillId="4" borderId="5" numFmtId="0" xfId="0" applyFont="1" applyFill="1" applyBorder="1" applyAlignment="1">
      <alignment vertical="top" wrapText="1"/>
    </xf>
    <xf fontId="0" fillId="0" borderId="5" numFmtId="9" xfId="0" applyNumberFormat="1" applyBorder="1" applyAlignment="1">
      <alignment vertical="top" wrapText="1"/>
    </xf>
    <xf fontId="13" fillId="6" borderId="5" numFmtId="9" xfId="0" applyNumberFormat="1" applyFont="1" applyFill="1" applyBorder="1" applyAlignment="1">
      <alignment horizontal="left" vertical="top" wrapText="1"/>
    </xf>
    <xf fontId="11" fillId="6" borderId="2" numFmtId="0" xfId="0" applyFont="1" applyFill="1" applyBorder="1" applyAlignment="1">
      <alignment horizontal="left" vertical="top" wrapText="1"/>
    </xf>
    <xf fontId="11" fillId="6" borderId="3" numFmtId="0" xfId="0" applyFont="1" applyFill="1" applyBorder="1" applyAlignment="1">
      <alignment horizontal="left" vertical="top" wrapText="1"/>
    </xf>
    <xf fontId="0" fillId="0" borderId="5" numFmtId="0" xfId="0" applyBorder="1" applyAlignment="1">
      <alignment shrinkToFit="1" vertical="top" wrapText="1"/>
    </xf>
    <xf fontId="29" fillId="4" borderId="5" numFmtId="0" xfId="0" applyFont="1" applyFill="1" applyBorder="1" applyAlignment="1">
      <alignment horizontal="left" vertical="top" wrapText="1"/>
    </xf>
    <xf fontId="16" fillId="4" borderId="5" numFmtId="0" xfId="0" applyFont="1" applyFill="1" applyBorder="1" applyAlignment="1">
      <alignment horizontal="left" vertical="top" wrapText="1"/>
    </xf>
    <xf fontId="0" fillId="0" borderId="5" numFmtId="9" xfId="0" applyNumberFormat="1" applyBorder="1" applyAlignment="1">
      <alignment wrapText="1"/>
    </xf>
    <xf fontId="13" fillId="7" borderId="5" numFmtId="9" xfId="0" applyNumberFormat="1" applyFont="1" applyFill="1" applyBorder="1" applyAlignment="1">
      <alignment horizontal="left" vertical="top" wrapText="1"/>
    </xf>
    <xf fontId="11" fillId="7" borderId="2" numFmtId="0" xfId="0" applyFont="1" applyFill="1" applyBorder="1" applyAlignment="1">
      <alignment horizontal="left" vertical="top" wrapText="1"/>
    </xf>
    <xf fontId="11" fillId="7" borderId="3" numFmtId="0" xfId="0" applyFont="1" applyFill="1" applyBorder="1" applyAlignment="1">
      <alignment horizontal="left" vertical="top" wrapText="1"/>
    </xf>
    <xf fontId="0" fillId="4" borderId="5" numFmtId="0" xfId="0" applyFill="1" applyBorder="1" applyAlignment="1">
      <alignment shrinkToFit="1" vertical="top" wrapText="1"/>
    </xf>
    <xf fontId="11" fillId="4" borderId="5" numFmtId="0" xfId="0" applyFont="1" applyFill="1" applyBorder="1" applyAlignment="1">
      <alignment horizontal="left" vertical="top"/>
    </xf>
    <xf fontId="13" fillId="7" borderId="5" numFmtId="9" xfId="0" applyNumberFormat="1" applyFont="1" applyFill="1" applyBorder="1" applyAlignment="1">
      <alignment horizontal="left" vertical="top"/>
    </xf>
    <xf fontId="11" fillId="7" borderId="7" numFmtId="0" xfId="0" applyFont="1" applyFill="1" applyBorder="1" applyAlignment="1">
      <alignment horizontal="left" vertical="top" wrapText="1"/>
    </xf>
    <xf fontId="11" fillId="7" borderId="6" numFmtId="0" xfId="0" applyFont="1" applyFill="1" applyBorder="1" applyAlignment="1">
      <alignment horizontal="left" vertical="top" wrapText="1"/>
    </xf>
    <xf fontId="0" fillId="0" borderId="5" numFmtId="0" xfId="0" applyBorder="1" applyAlignment="1">
      <alignment shrinkToFit="1" wrapText="1"/>
      <protection hidden="0" locked="1"/>
    </xf>
    <xf fontId="13" fillId="8" borderId="5" numFmtId="9" xfId="0" applyNumberFormat="1" applyFont="1" applyFill="1" applyBorder="1" applyAlignment="1">
      <alignment horizontal="left" vertical="top" wrapText="1"/>
    </xf>
    <xf fontId="12" fillId="0" borderId="5" numFmtId="0" xfId="0" applyFont="1" applyBorder="1" applyAlignment="1">
      <alignment wrapText="1"/>
    </xf>
    <xf fontId="13" fillId="9" borderId="5" numFmtId="9" xfId="0" applyNumberFormat="1" applyFont="1" applyFill="1" applyBorder="1" applyAlignment="1">
      <alignment horizontal="left" vertical="top" wrapText="1"/>
    </xf>
    <xf fontId="11" fillId="9" borderId="2" numFmtId="0" xfId="0" applyFont="1" applyFill="1" applyBorder="1" applyAlignment="1">
      <alignment horizontal="left" vertical="top" wrapText="1"/>
    </xf>
    <xf fontId="11" fillId="9" borderId="3" numFmtId="0" xfId="0" applyFont="1" applyFill="1" applyBorder="1" applyAlignment="1">
      <alignment horizontal="left" vertical="top" wrapText="1"/>
    </xf>
    <xf fontId="13" fillId="9" borderId="2" numFmtId="0" xfId="0" applyFont="1" applyFill="1" applyBorder="1" applyAlignment="1">
      <alignment horizontal="left" vertical="top" wrapText="1"/>
    </xf>
    <xf fontId="13" fillId="9" borderId="3" numFmtId="0" xfId="0" applyFont="1" applyFill="1" applyBorder="1" applyAlignment="1">
      <alignment horizontal="left" vertical="top" wrapText="1"/>
    </xf>
    <xf fontId="11" fillId="4" borderId="1" numFmtId="0" xfId="0" applyFont="1" applyFill="1" applyBorder="1" applyAlignment="1">
      <alignment horizontal="left" vertical="top" wrapText="1"/>
    </xf>
    <xf fontId="29" fillId="4" borderId="3" numFmtId="0" xfId="0" applyFont="1" applyFill="1" applyBorder="1" applyAlignment="1">
      <alignment horizontal="left" vertical="top" wrapText="1"/>
    </xf>
    <xf fontId="22" fillId="7" borderId="1" numFmtId="0" xfId="0" applyFont="1" applyFill="1" applyBorder="1" applyAlignment="1">
      <alignment horizontal="center" vertical="top" wrapText="1"/>
    </xf>
    <xf fontId="23" fillId="7" borderId="1" numFmtId="9" xfId="0" applyNumberFormat="1" applyFont="1" applyFill="1" applyBorder="1" applyAlignment="1">
      <alignment horizontal="left" vertical="top" wrapText="1"/>
    </xf>
    <xf fontId="21" fillId="7" borderId="1" numFmtId="0" xfId="0" applyFont="1" applyFill="1" applyBorder="1" applyAlignment="1">
      <alignment horizontal="center" vertical="top" wrapText="1"/>
    </xf>
    <xf fontId="3" fillId="4" borderId="0" numFmtId="0" xfId="0" applyFont="1" applyFill="1" applyAlignment="1">
      <alignment horizontal="center" vertical="top"/>
    </xf>
    <xf fontId="3" fillId="4" borderId="8" numFmtId="0" xfId="0" applyFont="1" applyFill="1" applyBorder="1" applyAlignment="1">
      <alignment horizontal="center" vertical="top"/>
    </xf>
    <xf fontId="25" fillId="5" borderId="1" numFmtId="0" xfId="0" applyFont="1" applyFill="1" applyBorder="1" applyAlignment="1">
      <alignment horizontal="left" vertical="top" wrapText="1"/>
    </xf>
    <xf fontId="25" fillId="5" borderId="1" numFmtId="0" xfId="0" applyFont="1" applyFill="1" applyBorder="1" applyAlignment="1">
      <alignment horizontal="center" vertical="top"/>
    </xf>
    <xf fontId="11" fillId="0" borderId="1" numFmtId="0" xfId="0" applyFont="1" applyBorder="1" applyAlignment="1">
      <alignment horizontal="left" vertical="top"/>
    </xf>
    <xf fontId="13" fillId="10" borderId="1" numFmtId="9" xfId="0" applyNumberFormat="1" applyFont="1" applyFill="1" applyBorder="1" applyAlignment="1">
      <alignment horizontal="left" vertical="top"/>
    </xf>
    <xf fontId="13" fillId="10" borderId="1" numFmtId="0" xfId="0" applyFont="1" applyFill="1" applyBorder="1" applyAlignment="1">
      <alignment horizontal="left" vertical="top" wrapText="1"/>
    </xf>
    <xf fontId="28" fillId="4" borderId="2" numFmtId="0" xfId="0" applyFont="1" applyFill="1" applyBorder="1" applyAlignment="1">
      <alignment horizontal="left" vertical="top" wrapText="1"/>
    </xf>
    <xf fontId="28" fillId="4" borderId="4" numFmtId="0" xfId="0" applyFont="1" applyFill="1" applyBorder="1" applyAlignment="1">
      <alignment horizontal="left" vertical="top" wrapText="1"/>
    </xf>
    <xf fontId="28" fillId="4" borderId="3" numFmtId="0" xfId="0" applyFont="1" applyFill="1" applyBorder="1" applyAlignment="1">
      <alignment horizontal="left" vertical="top" wrapText="1"/>
    </xf>
    <xf fontId="11" fillId="6" borderId="1" numFmtId="9" xfId="0" applyNumberFormat="1" applyFont="1" applyFill="1" applyBorder="1" applyAlignment="1">
      <alignment horizontal="left" vertical="top" wrapText="1"/>
    </xf>
    <xf fontId="11" fillId="6" borderId="1" numFmtId="0" xfId="0" applyFont="1" applyFill="1" applyBorder="1" applyAlignment="1">
      <alignment horizontal="left" vertical="top" wrapText="1"/>
    </xf>
    <xf fontId="11" fillId="8" borderId="1" numFmtId="9" xfId="0" applyNumberFormat="1" applyFont="1" applyFill="1" applyBorder="1" applyAlignment="1">
      <alignment horizontal="left" vertical="top" wrapText="1"/>
    </xf>
    <xf fontId="11" fillId="8" borderId="1" numFmtId="0" xfId="0" applyFont="1" applyFill="1" applyBorder="1" applyAlignment="1">
      <alignment horizontal="left" vertical="top" wrapText="1"/>
    </xf>
    <xf fontId="11" fillId="7" borderId="1" numFmtId="0" xfId="0" applyFont="1" applyFill="1" applyBorder="1" applyAlignment="1">
      <alignment horizontal="left" vertical="top" wrapText="1"/>
    </xf>
    <xf fontId="11" fillId="7" borderId="1" numFmtId="9" xfId="0" applyNumberFormat="1" applyFont="1" applyFill="1" applyBorder="1" applyAlignment="1">
      <alignment horizontal="left" vertical="top"/>
    </xf>
    <xf fontId="11" fillId="0" borderId="2" numFmtId="0" xfId="0" applyFont="1" applyBorder="1" applyAlignment="1">
      <alignment horizontal="left" vertical="top" wrapText="1"/>
    </xf>
    <xf fontId="11" fillId="0" borderId="4" numFmtId="0" xfId="0" applyFont="1" applyBorder="1" applyAlignment="1">
      <alignment horizontal="left" vertical="top" wrapText="1"/>
    </xf>
    <xf fontId="11" fillId="0" borderId="3" numFmtId="0" xfId="0" applyFont="1" applyBorder="1" applyAlignment="1">
      <alignment horizontal="left" vertical="top" wrapText="1"/>
    </xf>
    <xf fontId="11" fillId="9" borderId="1" numFmtId="9" xfId="0" applyNumberFormat="1" applyFont="1" applyFill="1" applyBorder="1" applyAlignment="1">
      <alignment horizontal="left" vertical="top" wrapText="1"/>
    </xf>
    <xf fontId="11" fillId="9" borderId="1" numFmtId="0" xfId="0" applyFont="1" applyFill="1" applyBorder="1" applyAlignment="1">
      <alignment horizontal="left" vertical="top" wrapText="1"/>
    </xf>
    <xf fontId="11" fillId="10" borderId="1" numFmtId="9" xfId="0" applyNumberFormat="1" applyFont="1" applyFill="1" applyBorder="1" applyAlignment="1">
      <alignment horizontal="left" vertical="top"/>
    </xf>
    <xf fontId="11" fillId="10" borderId="1" numFmtId="0" xfId="0" applyFont="1" applyFill="1" applyBorder="1" applyAlignment="1">
      <alignment horizontal="left" vertical="top" wrapText="1"/>
    </xf>
    <xf fontId="11" fillId="6" borderId="1" numFmtId="9" xfId="0" applyNumberFormat="1" applyFont="1" applyFill="1" applyBorder="1" applyAlignment="1">
      <alignment horizontal="left" vertical="top"/>
    </xf>
    <xf fontId="11" fillId="0" borderId="1" numFmtId="0" xfId="0" applyFont="1" applyBorder="1" applyAlignment="1">
      <alignment horizontal="left" vertical="top" wrapText="1"/>
    </xf>
    <xf fontId="29" fillId="4" borderId="9" numFmtId="0" xfId="0" applyFont="1" applyFill="1" applyBorder="1" applyAlignment="1">
      <alignment horizontal="left" vertical="top"/>
    </xf>
    <xf fontId="29" fillId="4" borderId="8" numFmtId="0" xfId="0" applyFont="1" applyFill="1" applyBorder="1" applyAlignment="1">
      <alignment horizontal="left" vertical="top" wrapText="1"/>
    </xf>
    <xf fontId="29" fillId="4" borderId="0" numFmtId="0" xfId="0" applyFont="1" applyFill="1" applyAlignment="1">
      <alignment vertical="top" wrapText="1"/>
    </xf>
    <xf fontId="29" fillId="4" borderId="0" numFmtId="0" xfId="0" applyFont="1" applyFill="1" applyAlignment="1">
      <alignment horizontal="left" vertical="top" wrapText="1"/>
    </xf>
    <xf fontId="30" fillId="0" borderId="9" numFmtId="0" xfId="0" applyFont="1" applyBorder="1" applyAlignment="1">
      <alignment horizontal="left" vertical="top" wrapText="1"/>
    </xf>
    <xf fontId="30" fillId="0" borderId="8" numFmtId="0" xfId="0" applyFont="1" applyBorder="1" applyAlignment="1">
      <alignment horizontal="left" vertical="top" wrapText="1"/>
    </xf>
    <xf fontId="29" fillId="12" borderId="0" numFmtId="0" xfId="0" applyFont="1" applyFill="1" applyAlignment="1">
      <alignment horizontal="left" wrapText="1"/>
    </xf>
    <xf fontId="30" fillId="0" borderId="1" numFmtId="0" xfId="0" applyFont="1" applyBorder="1" applyAlignment="1">
      <alignment horizontal="left" vertical="top" wrapText="1"/>
    </xf>
    <xf fontId="29" fillId="13" borderId="0" numFmtId="0" xfId="0" applyFont="1" applyFill="1" applyAlignment="1">
      <alignment horizontal="left" wrapText="1"/>
    </xf>
    <xf fontId="29" fillId="7" borderId="0" numFmtId="0" xfId="0" applyFont="1" applyFill="1" applyAlignment="1">
      <alignment horizontal="left" wrapText="1"/>
    </xf>
    <xf fontId="29" fillId="6" borderId="9" numFmtId="0" xfId="0" applyFont="1" applyFill="1" applyBorder="1" applyAlignment="1">
      <alignment horizontal="left" wrapText="1"/>
    </xf>
    <xf fontId="29" fillId="6" borderId="0" numFmtId="0" xfId="0" applyFont="1" applyFill="1" applyAlignment="1">
      <alignment horizontal="left" wrapText="1"/>
    </xf>
    <xf fontId="12" fillId="10" borderId="2" numFmtId="0" xfId="0" applyFont="1" applyFill="1" applyBorder="1" applyAlignment="1">
      <alignment horizontal="left" vertical="top" wrapText="1"/>
    </xf>
    <xf fontId="12" fillId="10" borderId="4" numFmtId="0" xfId="0" applyFont="1" applyFill="1" applyBorder="1" applyAlignment="1">
      <alignment horizontal="left" vertical="top" wrapText="1"/>
    </xf>
    <xf fontId="12" fillId="10" borderId="3" numFmtId="0" xfId="0" applyFont="1" applyFill="1" applyBorder="1" applyAlignment="1">
      <alignment horizontal="left" vertical="top" wrapText="1"/>
    </xf>
    <xf fontId="12" fillId="14" borderId="2" numFmtId="0" xfId="0" applyFont="1" applyFill="1" applyBorder="1" applyAlignment="1">
      <alignment horizontal="left"/>
    </xf>
    <xf fontId="12" fillId="14" borderId="4" numFmtId="0" xfId="0" applyFont="1" applyFill="1" applyBorder="1" applyAlignment="1">
      <alignment horizontal="left"/>
    </xf>
    <xf fontId="12" fillId="14" borderId="3" numFmtId="0" xfId="0" applyFont="1" applyFill="1" applyBorder="1" applyAlignment="1">
      <alignment horizontal="left"/>
    </xf>
    <xf fontId="29" fillId="4" borderId="2" numFmtId="0" xfId="0" applyFont="1" applyFill="1" applyBorder="1" applyAlignment="1">
      <alignment horizontal="left" vertical="top"/>
    </xf>
    <xf fontId="29" fillId="4" borderId="4" numFmtId="0" xfId="0" applyFont="1" applyFill="1" applyBorder="1" applyAlignment="1">
      <alignment horizontal="left" vertical="top"/>
    </xf>
    <xf fontId="29" fillId="4" borderId="3" numFmtId="0" xfId="0" applyFont="1" applyFill="1" applyBorder="1" applyAlignment="1">
      <alignment horizontal="left" vertical="top"/>
    </xf>
    <xf fontId="0" fillId="0" borderId="0" numFmtId="9" xfId="0" applyNumberFormat="1"/>
    <xf fontId="10" fillId="0" borderId="1" numFmtId="0" xfId="0" applyFont="1" applyBorder="1" applyAlignment="1">
      <alignment vertical="top" wrapText="1"/>
    </xf>
    <xf fontId="10" fillId="0" borderId="1" numFmtId="0" xfId="0" applyFont="1" applyBorder="1" applyAlignment="1">
      <alignment vertical="top"/>
    </xf>
    <xf fontId="10" fillId="0" borderId="1" numFmtId="0" xfId="0" applyFont="1" applyBorder="1" applyAlignment="1">
      <alignment horizontal="left" vertical="top" wrapText="1"/>
    </xf>
    <xf fontId="10" fillId="0" borderId="1" numFmtId="0" xfId="0" applyFont="1" applyBorder="1"/>
    <xf fontId="0" fillId="0" borderId="10" numFmtId="0" xfId="0" applyBorder="1" applyAlignment="1">
      <alignment horizontal="center" vertical="top"/>
    </xf>
    <xf fontId="0" fillId="0" borderId="10" numFmtId="0" xfId="0" applyBorder="1" applyAlignment="1">
      <alignment horizontal="left" vertical="top" wrapText="1"/>
    </xf>
    <xf fontId="0" fillId="0" borderId="1" numFmtId="0" xfId="0" applyBorder="1" applyAlignment="1">
      <alignment vertical="top" wrapText="1"/>
    </xf>
    <xf fontId="0" fillId="0" borderId="1" numFmtId="0" xfId="0" applyBorder="1" applyAlignment="1">
      <alignment horizontal="left" vertical="top" wrapText="1"/>
    </xf>
    <xf fontId="0" fillId="0" borderId="5" numFmtId="0" xfId="0" applyBorder="1" applyAlignment="1">
      <alignment horizontal="center" vertical="top"/>
    </xf>
    <xf fontId="0" fillId="0" borderId="5" numFmtId="0" xfId="0" applyBorder="1" applyAlignment="1">
      <alignment horizontal="left" vertical="top" wrapText="1"/>
    </xf>
    <xf fontId="0" fillId="0" borderId="1" numFmtId="0" xfId="0" applyBorder="1" applyAlignment="1">
      <alignment vertical="top"/>
    </xf>
    <xf fontId="0" fillId="0" borderId="10" numFmtId="0" xfId="0" applyBorder="1" applyAlignment="1">
      <alignment horizontal="left" vertical="top"/>
    </xf>
    <xf fontId="0" fillId="0" borderId="11" numFmtId="0" xfId="0" applyBorder="1" applyAlignment="1">
      <alignment horizontal="left" vertical="top" wrapText="1"/>
    </xf>
    <xf fontId="0" fillId="0" borderId="11" numFmtId="0" xfId="0" applyBorder="1" applyAlignment="1">
      <alignment horizontal="left" vertical="top"/>
    </xf>
    <xf fontId="0" fillId="0" borderId="5" numFmtId="0" xfId="0" applyBorder="1" applyAlignment="1">
      <alignment horizontal="left" vertical="top"/>
    </xf>
    <xf fontId="0" fillId="0" borderId="0" numFmtId="0" xfId="0" applyAlignment="1">
      <alignment horizontal="left"/>
    </xf>
    <xf fontId="0" fillId="0" borderId="0" numFmtId="0" xfId="0" applyAlignment="1">
      <alignment vertical="top"/>
    </xf>
    <xf fontId="31" fillId="15" borderId="0" numFmtId="0" xfId="0" applyFont="1" applyFill="1" applyAlignment="1">
      <alignment horizontal="left"/>
    </xf>
    <xf fontId="32" fillId="11" borderId="2" numFmtId="0" xfId="0" applyFont="1" applyFill="1" applyBorder="1" applyAlignment="1">
      <alignment horizontal="left" vertical="top" wrapText="1"/>
    </xf>
    <xf fontId="32" fillId="11" borderId="3" numFmtId="0" xfId="0" applyFont="1" applyFill="1" applyBorder="1" applyAlignment="1">
      <alignment horizontal="left" vertical="top" wrapText="1"/>
    </xf>
    <xf fontId="25" fillId="11" borderId="4" numFmtId="0" xfId="0" applyFont="1" applyFill="1" applyBorder="1" applyAlignment="1">
      <alignment horizontal="center" vertical="top" wrapText="1"/>
    </xf>
    <xf fontId="25" fillId="11" borderId="3" numFmtId="0" xfId="0" applyFont="1" applyFill="1" applyBorder="1" applyAlignment="1">
      <alignment horizontal="center" vertical="top" wrapText="1"/>
    </xf>
    <xf fontId="25" fillId="11" borderId="2" numFmtId="0" xfId="0" applyFont="1" applyFill="1" applyBorder="1" applyAlignment="1">
      <alignment horizontal="left" vertical="top" wrapText="1"/>
    </xf>
    <xf fontId="25" fillId="11" borderId="3" numFmtId="0" xfId="0" applyFont="1" applyFill="1" applyBorder="1" applyAlignment="1">
      <alignment horizontal="left" vertical="top" wrapText="1"/>
    </xf>
    <xf fontId="25" fillId="11" borderId="1" numFmtId="0" xfId="0" applyFont="1" applyFill="1" applyBorder="1" applyAlignment="1">
      <alignment horizontal="left" vertical="top" wrapText="1"/>
    </xf>
    <xf fontId="25" fillId="11" borderId="1" numFmtId="0" xfId="0" applyFont="1" applyFill="1" applyBorder="1" applyAlignment="1">
      <alignment vertical="top" wrapText="1"/>
    </xf>
    <xf fontId="32" fillId="4" borderId="10" numFmtId="0" xfId="0" applyFont="1" applyFill="1" applyBorder="1" applyAlignment="1">
      <alignment horizontal="center" vertical="top" wrapText="1"/>
    </xf>
    <xf fontId="26" fillId="4" borderId="1" numFmtId="0" xfId="0" applyFont="1" applyFill="1" applyBorder="1" applyAlignment="1">
      <alignment horizontal="left" vertical="center" wrapText="1"/>
    </xf>
    <xf fontId="33" fillId="9" borderId="1" numFmtId="0" xfId="0" applyFont="1" applyFill="1" applyBorder="1" applyAlignment="1">
      <alignment horizontal="left" vertical="top" wrapText="1"/>
    </xf>
    <xf fontId="34" fillId="9" borderId="1" numFmtId="0" xfId="0" applyFont="1" applyFill="1" applyBorder="1" applyAlignment="1">
      <alignment horizontal="left" vertical="top" wrapText="1"/>
    </xf>
    <xf fontId="12" fillId="4" borderId="1" numFmtId="0" xfId="0" applyFont="1" applyFill="1" applyBorder="1" applyAlignment="1">
      <alignment vertical="top" wrapText="1"/>
    </xf>
    <xf fontId="13" fillId="4" borderId="1" numFmtId="0" xfId="0" applyFont="1" applyFill="1" applyBorder="1" applyAlignment="1">
      <alignment vertical="top" wrapText="1"/>
    </xf>
    <xf fontId="32" fillId="4" borderId="11" numFmtId="0" xfId="0" applyFont="1" applyFill="1" applyBorder="1" applyAlignment="1">
      <alignment horizontal="center" vertical="top" wrapText="1"/>
    </xf>
    <xf fontId="35" fillId="4" borderId="1" numFmtId="0" xfId="0" applyFont="1" applyFill="1" applyBorder="1" applyAlignment="1">
      <alignment vertical="top" wrapText="1"/>
    </xf>
    <xf fontId="36" fillId="9" borderId="1" numFmtId="0" xfId="0" applyFont="1" applyFill="1" applyBorder="1" applyAlignment="1">
      <alignment horizontal="left" vertical="top" wrapText="1"/>
    </xf>
    <xf fontId="37" fillId="9" borderId="1" numFmtId="0" xfId="0" applyFont="1" applyFill="1" applyBorder="1" applyAlignment="1">
      <alignment horizontal="left" vertical="top" wrapText="1"/>
    </xf>
    <xf fontId="36" fillId="16" borderId="1" numFmtId="0" xfId="0" applyFont="1" applyFill="1" applyBorder="1" applyAlignment="1">
      <alignment horizontal="left" vertical="top" wrapText="1"/>
    </xf>
    <xf fontId="37" fillId="16" borderId="1" numFmtId="0" xfId="0" applyFont="1" applyFill="1" applyBorder="1" applyAlignment="1">
      <alignment horizontal="left" vertical="top" wrapText="1"/>
    </xf>
    <xf fontId="5" fillId="4" borderId="1" numFmtId="0" xfId="0" applyFont="1" applyFill="1" applyBorder="1" applyAlignment="1">
      <alignment vertical="top" wrapText="1"/>
    </xf>
    <xf fontId="35" fillId="0" borderId="1" numFmtId="0" xfId="0" applyFont="1" applyBorder="1" applyAlignment="1">
      <alignment vertical="top" wrapText="1"/>
    </xf>
    <xf fontId="29" fillId="4" borderId="1" numFmtId="0" xfId="0" applyFont="1" applyFill="1" applyBorder="1" applyAlignment="1">
      <alignment vertical="top" wrapText="1"/>
    </xf>
    <xf fontId="38" fillId="9" borderId="1" numFmtId="2" xfId="0" applyNumberFormat="1" applyFont="1" applyFill="1" applyBorder="1" applyAlignment="1">
      <alignment horizontal="left" vertical="top" wrapText="1"/>
    </xf>
    <xf fontId="14" fillId="9" borderId="1" numFmtId="0" xfId="0" applyFont="1" applyFill="1" applyBorder="1" applyAlignment="1">
      <alignment horizontal="left" vertical="top" wrapText="1"/>
    </xf>
    <xf fontId="38" fillId="9" borderId="1" numFmtId="0" xfId="0" applyFont="1" applyFill="1" applyBorder="1" applyAlignment="1">
      <alignment horizontal="left" vertical="top" wrapText="1"/>
    </xf>
    <xf fontId="29" fillId="4" borderId="1" numFmtId="0" xfId="0" applyFont="1" applyFill="1" applyBorder="1" applyAlignment="1">
      <alignment horizontal="left" vertical="top" wrapText="1"/>
    </xf>
    <xf fontId="32" fillId="4" borderId="5" numFmtId="0" xfId="0" applyFont="1" applyFill="1" applyBorder="1" applyAlignment="1">
      <alignment horizontal="center" vertical="top" wrapText="1"/>
    </xf>
    <xf fontId="32" fillId="4" borderId="0" numFmtId="0" xfId="0" applyFont="1" applyFill="1" applyAlignment="1">
      <alignment horizontal="center" vertical="top" wrapText="1"/>
    </xf>
    <xf fontId="11" fillId="4" borderId="0" numFmtId="0" xfId="0" applyFont="1" applyFill="1" applyAlignment="1">
      <alignment horizontal="left" vertical="top"/>
    </xf>
    <xf fontId="38" fillId="4" borderId="0" numFmtId="2" xfId="0" applyNumberFormat="1" applyFont="1" applyFill="1" applyAlignment="1">
      <alignment horizontal="left" vertical="top" wrapText="1"/>
    </xf>
    <xf fontId="12" fillId="4" borderId="0" numFmtId="0" xfId="0" applyFont="1" applyFill="1" applyAlignment="1">
      <alignment vertical="top" wrapText="1"/>
    </xf>
    <xf fontId="13" fillId="4" borderId="0" numFmtId="0" xfId="0" applyFont="1" applyFill="1" applyAlignment="1">
      <alignment horizontal="left" vertical="top" wrapText="1"/>
    </xf>
    <xf fontId="13" fillId="4" borderId="0" numFmtId="0" xfId="0" applyFont="1" applyFill="1" applyAlignment="1">
      <alignment vertical="top" wrapText="1"/>
    </xf>
    <xf fontId="25" fillId="0" borderId="0" numFmtId="0" xfId="0" applyFont="1" applyAlignment="1">
      <alignment vertical="top"/>
    </xf>
    <xf fontId="11" fillId="4" borderId="0" numFmtId="0" xfId="0" applyFont="1" applyFill="1" applyAlignment="1">
      <alignment vertical="top"/>
    </xf>
    <xf fontId="25" fillId="4" borderId="0" numFmtId="0" xfId="0" applyFont="1" applyFill="1" applyAlignment="1">
      <alignment vertical="top"/>
    </xf>
    <xf fontId="37" fillId="7" borderId="1" numFmtId="9" xfId="0" applyNumberFormat="1" applyFont="1" applyFill="1" applyBorder="1" applyAlignment="1">
      <alignment horizontal="left" vertical="top" wrapText="1"/>
    </xf>
    <xf fontId="10" fillId="7" borderId="1" numFmtId="0" xfId="0" applyFont="1" applyFill="1" applyBorder="1" applyAlignment="1">
      <alignment vertical="top" wrapText="1"/>
      <protection hidden="0" locked="1"/>
    </xf>
    <xf fontId="10" fillId="15" borderId="0" numFmtId="0" xfId="0" applyFont="1" applyFill="1" applyAlignment="1">
      <alignment horizontal="left" vertical="top"/>
    </xf>
    <xf fontId="25" fillId="11" borderId="2" numFmtId="0" xfId="0" applyFont="1" applyFill="1" applyBorder="1" applyAlignment="1">
      <alignment horizontal="center" vertical="top" wrapText="1"/>
    </xf>
    <xf fontId="30" fillId="4" borderId="1" numFmtId="0" xfId="0" applyFont="1" applyFill="1" applyBorder="1" applyAlignment="1">
      <alignment vertical="top" wrapText="1"/>
    </xf>
    <xf fontId="37" fillId="16" borderId="1" numFmtId="1" xfId="0" applyNumberFormat="1" applyFont="1" applyFill="1" applyBorder="1" applyAlignment="1">
      <alignment horizontal="left" vertical="top" wrapText="1"/>
    </xf>
    <xf fontId="12" fillId="0" borderId="1" numFmtId="0" xfId="0" applyFont="1" applyBorder="1" applyAlignment="1">
      <alignment vertical="top" wrapText="1"/>
    </xf>
    <xf fontId="12" fillId="4" borderId="1" numFmtId="0" xfId="0" applyFont="1" applyFill="1" applyBorder="1" applyAlignment="1">
      <alignment horizontal="left" vertical="top" wrapText="1"/>
    </xf>
    <xf fontId="39" fillId="0" borderId="1" numFmtId="0" xfId="0" applyFont="1" applyBorder="1" applyAlignment="1">
      <alignment horizontal="justify" vertical="center" wrapText="1"/>
    </xf>
    <xf fontId="37" fillId="10" borderId="1" numFmtId="0" xfId="0" applyFont="1" applyFill="1" applyBorder="1" applyAlignment="1">
      <alignment horizontal="left" vertical="top" wrapText="1"/>
    </xf>
    <xf fontId="5" fillId="0" borderId="1" numFmtId="0" xfId="0" applyFont="1" applyBorder="1" applyAlignment="1">
      <alignment vertical="top" wrapText="1"/>
    </xf>
    <xf fontId="12" fillId="4" borderId="1" numFmtId="0" xfId="0" applyFont="1" applyFill="1" applyBorder="1" applyAlignment="1">
      <alignment vertical="top"/>
    </xf>
    <xf fontId="30" fillId="4" borderId="10" numFmtId="0" xfId="0" applyFont="1" applyFill="1" applyBorder="1" applyAlignment="1">
      <alignment horizontal="center" vertical="top" wrapText="1"/>
    </xf>
    <xf fontId="30" fillId="4" borderId="11" numFmtId="0" xfId="0" applyFont="1" applyFill="1" applyBorder="1" applyAlignment="1">
      <alignment horizontal="center" vertical="top" wrapText="1"/>
    </xf>
    <xf fontId="11" fillId="0" borderId="1" numFmtId="0" xfId="0" applyFont="1" applyBorder="1" applyAlignment="1">
      <alignment vertical="top" wrapText="1"/>
    </xf>
    <xf fontId="12" fillId="0" borderId="1" numFmtId="0" xfId="0" applyFont="1" applyBorder="1" applyAlignment="1">
      <alignment vertical="top"/>
    </xf>
    <xf fontId="37" fillId="7" borderId="1" numFmtId="2" xfId="0" applyNumberFormat="1" applyFont="1" applyFill="1" applyBorder="1" applyAlignment="1">
      <alignment horizontal="left" vertical="top" wrapText="1"/>
    </xf>
    <xf fontId="37" fillId="7" borderId="1" numFmtId="0" xfId="0" applyFont="1" applyFill="1" applyBorder="1" applyAlignment="1">
      <alignment horizontal="left" vertical="top" wrapText="1"/>
    </xf>
    <xf fontId="11" fillId="0" borderId="1" numFmtId="0" xfId="0" applyFont="1" applyBorder="1" applyAlignment="1">
      <alignment vertical="top"/>
    </xf>
    <xf fontId="30" fillId="4" borderId="5" numFmtId="0" xfId="0" applyFont="1" applyFill="1" applyBorder="1" applyAlignment="1">
      <alignment horizontal="center" vertical="top" wrapText="1"/>
    </xf>
    <xf fontId="11" fillId="0" borderId="0" numFmtId="0" xfId="0" applyFont="1" applyAlignment="1">
      <alignment vertical="top"/>
    </xf>
    <xf fontId="11" fillId="0" borderId="0" numFmtId="0" xfId="0" applyFont="1" applyAlignment="1">
      <alignment horizontal="left" vertical="top"/>
    </xf>
    <xf fontId="25" fillId="0" borderId="12" numFmtId="0" xfId="0" applyFont="1" applyBorder="1" applyAlignment="1">
      <alignment vertical="top"/>
    </xf>
    <xf fontId="11" fillId="0" borderId="12" numFmtId="0" xfId="0" applyFont="1" applyBorder="1" applyAlignment="1">
      <alignment vertical="top"/>
    </xf>
    <xf fontId="11" fillId="0" borderId="12" numFmtId="0" xfId="0" applyFont="1" applyBorder="1" applyAlignment="1">
      <alignment horizontal="left" vertical="top"/>
    </xf>
    <xf fontId="37" fillId="10" borderId="1" numFmtId="9" xfId="0" applyNumberFormat="1" applyFont="1" applyFill="1" applyBorder="1" applyAlignment="1">
      <alignment horizontal="left" vertical="top" wrapText="1"/>
    </xf>
    <xf fontId="25" fillId="10" borderId="1" numFmtId="0" xfId="0" applyFont="1" applyFill="1" applyBorder="1" applyAlignment="1">
      <alignment horizontal="left" vertical="top" wrapText="1"/>
    </xf>
    <xf fontId="10" fillId="0" borderId="0" numFmtId="0" xfId="0" applyFont="1"/>
    <xf fontId="10" fillId="0" borderId="0" numFmtId="0" xfId="0" applyFont="1" applyAlignment="1">
      <alignment horizontal="left" vertical="top"/>
    </xf>
    <xf fontId="10" fillId="0" borderId="0" numFmtId="0" xfId="0" applyFont="1" applyAlignment="1">
      <alignment horizontal="left"/>
    </xf>
    <xf fontId="10" fillId="0" borderId="0" numFmtId="0" xfId="0" applyFont="1">
      <protection hidden="0" locked="1"/>
    </xf>
    <xf fontId="32" fillId="11" borderId="1" numFmtId="0" xfId="0" applyFont="1" applyFill="1" applyBorder="1" applyAlignment="1">
      <alignment horizontal="left" vertical="top" wrapText="1"/>
    </xf>
    <xf fontId="13" fillId="4" borderId="10" numFmtId="0" xfId="0" applyFont="1" applyFill="1" applyBorder="1" applyAlignment="1">
      <alignment horizontal="left" vertical="top" wrapText="1"/>
    </xf>
    <xf fontId="32" fillId="9" borderId="1" numFmtId="0" xfId="0" applyFont="1" applyFill="1" applyBorder="1" applyAlignment="1">
      <alignment horizontal="left" vertical="top" wrapText="1"/>
    </xf>
    <xf fontId="10" fillId="9" borderId="1" numFmtId="0" xfId="0" applyFont="1" applyFill="1" applyBorder="1" applyAlignment="1">
      <alignment vertical="top" wrapText="1"/>
      <protection hidden="0" locked="1"/>
    </xf>
    <xf fontId="13" fillId="4" borderId="11" numFmtId="0" xfId="0" applyFont="1" applyFill="1" applyBorder="1" applyAlignment="1">
      <alignment horizontal="left" vertical="top" wrapText="1"/>
    </xf>
    <xf fontId="32" fillId="16" borderId="1" numFmtId="0" xfId="0" applyFont="1" applyFill="1" applyBorder="1" applyAlignment="1">
      <alignment horizontal="left" vertical="top" wrapText="1"/>
    </xf>
    <xf fontId="32" fillId="10" borderId="1" numFmtId="0" xfId="0" applyFont="1" applyFill="1" applyBorder="1" applyAlignment="1">
      <alignment horizontal="left" vertical="top" wrapText="1"/>
    </xf>
    <xf fontId="11" fillId="4" borderId="1" numFmtId="0" xfId="0" applyFont="1" applyFill="1" applyBorder="1" applyAlignment="1">
      <alignment vertical="top" wrapText="1"/>
    </xf>
    <xf fontId="13" fillId="8" borderId="1" numFmtId="0" xfId="0" applyFont="1" applyFill="1" applyBorder="1" applyAlignment="1">
      <alignment horizontal="left" vertical="top" wrapText="1"/>
    </xf>
    <xf fontId="13" fillId="10" borderId="1" numFmtId="0" xfId="0" applyFont="1" applyFill="1" applyBorder="1" applyAlignment="1">
      <alignment horizontal="center" vertical="top" wrapText="1"/>
    </xf>
    <xf fontId="11" fillId="10" borderId="1" numFmtId="0" xfId="0" applyFont="1" applyFill="1" applyBorder="1" applyAlignment="1">
      <alignment vertical="top" wrapText="1"/>
      <protection hidden="0" locked="1"/>
    </xf>
    <xf fontId="13" fillId="7" borderId="1" numFmtId="2" xfId="0" applyNumberFormat="1" applyFont="1" applyFill="1" applyBorder="1" applyAlignment="1">
      <alignment horizontal="left" vertical="top" wrapText="1"/>
    </xf>
    <xf fontId="11" fillId="7" borderId="1" numFmtId="0" xfId="0" applyFont="1" applyFill="1" applyBorder="1" applyAlignment="1">
      <alignment vertical="top" wrapText="1"/>
      <protection hidden="0" locked="1"/>
    </xf>
    <xf fontId="13" fillId="7" borderId="1" numFmtId="0" xfId="0" applyFont="1" applyFill="1" applyBorder="1" applyAlignment="1">
      <alignment horizontal="left" vertical="top" wrapText="1"/>
    </xf>
    <xf fontId="13" fillId="4" borderId="5" numFmtId="0" xfId="0" applyFont="1" applyFill="1" applyBorder="1" applyAlignment="1">
      <alignment horizontal="left" vertical="top" wrapText="1"/>
    </xf>
    <xf fontId="11" fillId="0" borderId="0" numFmtId="0" xfId="0" applyFont="1" applyAlignment="1">
      <alignment horizontal="left"/>
    </xf>
    <xf fontId="11" fillId="0" borderId="0" numFmtId="2" xfId="0" applyNumberFormat="1" applyFont="1" applyAlignment="1">
      <alignment horizontal="left"/>
    </xf>
    <xf fontId="25" fillId="0" borderId="0" numFmtId="0" xfId="0" applyFont="1" applyAlignment="1">
      <alignment horizontal="left" vertical="top"/>
    </xf>
    <xf fontId="25" fillId="7" borderId="1" numFmtId="9" xfId="0" applyNumberFormat="1" applyFont="1" applyFill="1" applyBorder="1" applyAlignment="1">
      <alignment horizontal="left" vertical="top"/>
    </xf>
    <xf fontId="25" fillId="7" borderId="1" numFmtId="0" xfId="0" applyFont="1" applyFill="1" applyBorder="1" applyAlignment="1">
      <alignment horizontal="left" vertical="top" wrapText="1"/>
    </xf>
    <xf fontId="10" fillId="15" borderId="0" numFmtId="0" xfId="0" applyFont="1" applyFill="1" applyAlignment="1">
      <alignment horizontal="left"/>
    </xf>
    <xf fontId="32" fillId="8" borderId="1" numFmtId="0" xfId="0" applyFont="1" applyFill="1" applyBorder="1" applyAlignment="1">
      <alignment horizontal="left" vertical="top" wrapText="1"/>
    </xf>
    <xf fontId="29" fillId="4" borderId="1" numFmtId="0" xfId="0" applyFont="1" applyFill="1" applyBorder="1" applyAlignment="1">
      <alignment vertical="top"/>
    </xf>
    <xf fontId="30" fillId="16" borderId="1" numFmtId="0" xfId="0" applyFont="1" applyFill="1" applyBorder="1" applyAlignment="1">
      <alignment horizontal="left" vertical="top" wrapText="1"/>
    </xf>
    <xf fontId="29" fillId="0" borderId="1" numFmtId="0" xfId="0" applyFont="1" applyBorder="1" applyAlignment="1">
      <alignment horizontal="left" vertical="top" wrapText="1"/>
    </xf>
    <xf fontId="10" fillId="9" borderId="1" numFmtId="0" xfId="0" applyFont="1" applyFill="1" applyBorder="1" applyAlignment="1">
      <alignment horizontal="left" vertical="top" wrapText="1"/>
      <protection hidden="0" locked="1"/>
    </xf>
    <xf fontId="0" fillId="0" borderId="1" numFmtId="0" xfId="0" applyBorder="1" applyAlignment="1">
      <alignment horizontal="left"/>
    </xf>
    <xf fontId="0" fillId="4" borderId="1" numFmtId="0" xfId="0" applyFill="1" applyBorder="1" applyAlignment="1">
      <alignment horizontal="left"/>
    </xf>
    <xf fontId="0" fillId="4" borderId="1" numFmtId="0" xfId="0" applyFill="1" applyBorder="1" applyAlignment="1">
      <alignment vertical="top" wrapText="1"/>
    </xf>
    <xf fontId="0" fillId="4" borderId="1" numFmtId="0" xfId="0" applyFill="1" applyBorder="1" applyAlignment="1">
      <alignment wrapText="1"/>
    </xf>
    <xf fontId="0" fillId="4" borderId="1" numFmtId="0" xfId="0" applyFill="1" applyBorder="1" applyAlignment="1">
      <alignment vertical="top"/>
    </xf>
    <xf fontId="0" fillId="4" borderId="1" numFmtId="0" xfId="0" applyFill="1" applyBorder="1" applyAlignment="1">
      <alignment horizontal="left" vertical="top"/>
    </xf>
    <xf fontId="10" fillId="7" borderId="1" numFmtId="2" xfId="0" applyNumberFormat="1" applyFont="1" applyFill="1" applyBorder="1" applyAlignment="1">
      <alignment horizontal="left" vertical="top"/>
    </xf>
    <xf fontId="10" fillId="7" borderId="1" numFmtId="0" xfId="0" applyFont="1" applyFill="1" applyBorder="1" applyAlignment="1">
      <alignment vertical="top" wrapText="1"/>
    </xf>
    <xf fontId="10" fillId="9" borderId="1" numFmtId="0" xfId="0" applyFont="1" applyFill="1" applyBorder="1" applyAlignment="1">
      <alignment horizontal="left" vertical="top"/>
    </xf>
    <xf fontId="10" fillId="9" borderId="1" numFmtId="0" xfId="0" applyFont="1" applyFill="1" applyBorder="1" applyAlignment="1">
      <alignment horizontal="left" vertical="top" wrapText="1"/>
    </xf>
    <xf fontId="0" fillId="8" borderId="1" numFmtId="0" xfId="0" applyFill="1" applyBorder="1" applyAlignment="1">
      <alignment vertical="top"/>
    </xf>
    <xf fontId="0" fillId="8" borderId="1" numFmtId="0" xfId="0" applyFill="1" applyBorder="1" applyAlignment="1">
      <alignment vertical="top" wrapText="1"/>
    </xf>
    <xf fontId="0" fillId="0" borderId="0" numFmtId="2" xfId="0" applyNumberFormat="1"/>
    <xf fontId="25" fillId="0" borderId="12" numFmtId="0" xfId="0" applyFont="1" applyBorder="1" applyAlignment="1">
      <alignment horizontal="left" vertical="top"/>
    </xf>
    <xf fontId="11" fillId="0" borderId="12" numFmtId="0" xfId="0" applyFont="1" applyBorder="1" applyAlignment="1">
      <alignment horizontal="left"/>
    </xf>
    <xf fontId="37" fillId="6" borderId="1" numFmtId="9" xfId="0" applyNumberFormat="1" applyFont="1" applyFill="1" applyBorder="1" applyAlignment="1">
      <alignment horizontal="left" vertical="top"/>
    </xf>
    <xf fontId="10" fillId="6" borderId="1" numFmtId="0" xfId="0" applyFont="1" applyFill="1" applyBorder="1" applyAlignment="1">
      <alignment vertical="top" wrapText="1"/>
      <protection hidden="0" locked="1"/>
    </xf>
    <xf fontId="40" fillId="5" borderId="0" numFmtId="0" xfId="0" applyFont="1" applyFill="1" applyAlignment="1">
      <alignment vertical="top"/>
    </xf>
    <xf fontId="32" fillId="5" borderId="1" numFmtId="0" xfId="0" applyFont="1" applyFill="1" applyBorder="1" applyAlignment="1">
      <alignment vertical="top" wrapText="1"/>
    </xf>
    <xf fontId="25" fillId="5" borderId="2" numFmtId="0" xfId="0" applyFont="1" applyFill="1" applyBorder="1" applyAlignment="1">
      <alignment vertical="top" wrapText="1"/>
    </xf>
    <xf fontId="25" fillId="5" borderId="4" numFmtId="0" xfId="0" applyFont="1" applyFill="1" applyBorder="1" applyAlignment="1">
      <alignment vertical="top" wrapText="1"/>
    </xf>
    <xf fontId="40" fillId="5" borderId="1" numFmtId="0" xfId="0" applyFont="1" applyFill="1" applyBorder="1" applyAlignment="1">
      <alignment vertical="top" wrapText="1"/>
    </xf>
    <xf fontId="40" fillId="11" borderId="1" numFmtId="0" xfId="0" applyFont="1" applyFill="1" applyBorder="1" applyAlignment="1">
      <alignment vertical="top"/>
    </xf>
    <xf fontId="40" fillId="11" borderId="1" numFmtId="0" xfId="0" applyFont="1" applyFill="1" applyBorder="1" applyAlignment="1">
      <alignment vertical="top" wrapText="1"/>
    </xf>
    <xf fontId="40" fillId="0" borderId="10" numFmtId="0" xfId="0" applyFont="1" applyBorder="1" applyAlignment="1">
      <alignment horizontal="center" vertical="top"/>
    </xf>
    <xf fontId="36" fillId="9" borderId="1" numFmtId="0" xfId="0" applyFont="1" applyFill="1" applyBorder="1" applyAlignment="1">
      <alignment horizontal="center" vertical="top" wrapText="1"/>
    </xf>
    <xf fontId="41" fillId="0" borderId="0" numFmtId="0" xfId="0" applyFont="1" applyAlignment="1">
      <alignment vertical="top" wrapText="1"/>
    </xf>
    <xf fontId="40" fillId="0" borderId="11" numFmtId="0" xfId="0" applyFont="1" applyBorder="1" applyAlignment="1">
      <alignment horizontal="center" vertical="top"/>
    </xf>
    <xf fontId="33" fillId="8" borderId="1" numFmtId="0" xfId="0" applyFont="1" applyFill="1" applyBorder="1" applyAlignment="1">
      <alignment horizontal="left" vertical="top" wrapText="1"/>
    </xf>
    <xf fontId="10" fillId="8" borderId="1" numFmtId="0" xfId="0" applyFont="1" applyFill="1" applyBorder="1" applyAlignment="1">
      <alignment vertical="top" wrapText="1"/>
      <protection hidden="0" locked="1"/>
    </xf>
    <xf fontId="40" fillId="16" borderId="1" numFmtId="0" xfId="0" applyFont="1" applyFill="1" applyBorder="1" applyAlignment="1">
      <alignment horizontal="left" vertical="top" wrapText="1"/>
    </xf>
    <xf fontId="42" fillId="0" borderId="1" numFmtId="0" xfId="0" applyFont="1" applyBorder="1" applyAlignment="1">
      <alignment horizontal="left" vertical="top" wrapText="1"/>
    </xf>
    <xf fontId="12" fillId="0" borderId="10" numFmtId="0" xfId="0" applyFont="1" applyBorder="1" applyAlignment="1">
      <alignment horizontal="left" vertical="top" wrapText="1"/>
    </xf>
    <xf fontId="43" fillId="9" borderId="1" numFmtId="0" xfId="0" applyFont="1" applyFill="1" applyBorder="1" applyAlignment="1">
      <alignment horizontal="left" vertical="top" wrapText="1"/>
    </xf>
    <xf fontId="0" fillId="9" borderId="1" numFmtId="0" xfId="0" applyFill="1" applyBorder="1" applyAlignment="1">
      <alignment vertical="top" wrapText="1"/>
      <protection hidden="0" locked="1"/>
    </xf>
    <xf fontId="12" fillId="0" borderId="13" numFmtId="0" xfId="0" applyFont="1" applyBorder="1" applyAlignment="1">
      <alignment horizontal="left" shrinkToFit="1" vertical="top" wrapText="1"/>
    </xf>
    <xf fontId="12" fillId="0" borderId="1" numFmtId="0" xfId="0" applyFont="1" applyBorder="1" applyAlignment="1">
      <alignment horizontal="left" vertical="top" wrapText="1"/>
    </xf>
    <xf fontId="40" fillId="0" borderId="5" numFmtId="0" xfId="0" applyFont="1" applyBorder="1" applyAlignment="1">
      <alignment horizontal="center" vertical="top"/>
    </xf>
    <xf fontId="11" fillId="0" borderId="0" numFmtId="0" xfId="0" applyFont="1"/>
    <xf fontId="32" fillId="7" borderId="1" numFmtId="9" xfId="0" applyNumberFormat="1" applyFont="1" applyFill="1" applyBorder="1" applyAlignment="1">
      <alignment vertical="top"/>
    </xf>
    <xf fontId="40" fillId="5" borderId="6" numFmtId="0" xfId="0" applyFont="1" applyFill="1" applyBorder="1" applyAlignment="1">
      <alignment vertical="top"/>
    </xf>
    <xf fontId="25" fillId="5" borderId="3" numFmtId="0" xfId="0" applyFont="1" applyFill="1" applyBorder="1" applyAlignment="1">
      <alignment vertical="top" wrapText="1"/>
    </xf>
    <xf fontId="40" fillId="7" borderId="1" numFmtId="0" xfId="0" applyFont="1" applyFill="1" applyBorder="1" applyAlignment="1">
      <alignment horizontal="left" vertical="top" wrapText="1"/>
    </xf>
    <xf fontId="32" fillId="7" borderId="1" numFmtId="0" xfId="0" applyFont="1" applyFill="1" applyBorder="1" applyAlignment="1">
      <alignment horizontal="left" vertical="top" wrapText="1"/>
    </xf>
    <xf fontId="40" fillId="9" borderId="1" numFmtId="9" xfId="0" applyNumberFormat="1" applyFont="1" applyFill="1" applyBorder="1" applyAlignment="1">
      <alignment horizontal="left" vertical="top" wrapText="1"/>
    </xf>
    <xf fontId="40" fillId="9" borderId="1" numFmtId="2" xfId="0" applyNumberFormat="1" applyFont="1" applyFill="1" applyBorder="1" applyAlignment="1">
      <alignment horizontal="left" vertical="top" wrapText="1"/>
    </xf>
    <xf fontId="44" fillId="7" borderId="1" numFmtId="0" xfId="0" applyFont="1" applyFill="1" applyBorder="1" applyAlignment="1">
      <alignment horizontal="left" vertical="top" wrapText="1"/>
    </xf>
    <xf fontId="40" fillId="7" borderId="1" numFmtId="0" xfId="0" applyFont="1" applyFill="1" applyBorder="1" applyAlignment="1">
      <alignment vertical="top" wrapText="1"/>
      <protection hidden="0" locked="1"/>
    </xf>
    <xf fontId="12" fillId="4" borderId="1" numFmtId="0" xfId="0" applyFont="1" applyFill="1" applyBorder="1" applyAlignment="1">
      <alignment horizontal="left" vertical="top"/>
    </xf>
    <xf fontId="40" fillId="4" borderId="1" numFmtId="0" xfId="0" applyFont="1" applyFill="1" applyBorder="1" applyAlignment="1">
      <alignment horizontal="left" vertical="top" wrapText="1"/>
    </xf>
    <xf fontId="32" fillId="4" borderId="1" numFmtId="0" xfId="0" applyFont="1" applyFill="1" applyBorder="1" applyAlignment="1">
      <alignment horizontal="left" vertical="top" wrapText="1"/>
    </xf>
    <xf fontId="12" fillId="0" borderId="1" numFmtId="0" xfId="0" applyFont="1" applyBorder="1" applyAlignment="1">
      <alignment horizontal="left" shrinkToFit="1" vertical="top" wrapText="1"/>
    </xf>
    <xf fontId="44" fillId="9" borderId="1" numFmtId="0" xfId="0" applyFont="1" applyFill="1" applyBorder="1" applyAlignment="1">
      <alignment horizontal="left" vertical="top" wrapText="1"/>
    </xf>
    <xf fontId="40" fillId="9" borderId="1" numFmtId="0" xfId="0" applyFont="1" applyFill="1" applyBorder="1" applyAlignment="1">
      <alignment vertical="top" wrapText="1"/>
      <protection hidden="0" locked="1"/>
    </xf>
    <xf fontId="45" fillId="14" borderId="1" numFmtId="0" xfId="0" applyFont="1" applyFill="1" applyBorder="1" applyAlignment="1">
      <alignment horizontal="left" vertical="top" wrapText="1"/>
    </xf>
    <xf fontId="46" fillId="14" borderId="1" numFmtId="0" xfId="0" applyFont="1" applyFill="1" applyBorder="1" applyAlignment="1">
      <alignment vertical="top" wrapText="1"/>
      <protection hidden="0" locked="1"/>
    </xf>
    <xf fontId="33" fillId="6" borderId="1" numFmtId="0" xfId="0" applyFont="1" applyFill="1" applyBorder="1" applyAlignment="1">
      <alignment horizontal="left" vertical="top" wrapText="1"/>
    </xf>
    <xf fontId="10" fillId="9" borderId="1" numFmtId="2" xfId="0" applyNumberFormat="1" applyFont="1" applyFill="1" applyBorder="1" applyAlignment="1">
      <alignment horizontal="left" vertical="top" wrapText="1"/>
    </xf>
    <xf fontId="40" fillId="10" borderId="1" numFmtId="0" xfId="0" applyFont="1" applyFill="1" applyBorder="1" applyAlignment="1">
      <alignment horizontal="left" vertical="top" wrapText="1"/>
    </xf>
    <xf fontId="10" fillId="9" borderId="1" numFmtId="2" xfId="0" applyNumberFormat="1" applyFont="1" applyFill="1" applyBorder="1" applyAlignment="1">
      <alignment horizontal="left" vertical="top"/>
    </xf>
    <xf fontId="0" fillId="10" borderId="1" numFmtId="1" xfId="0" applyNumberFormat="1" applyFill="1" applyBorder="1" applyAlignment="1">
      <alignment horizontal="left" vertical="top"/>
    </xf>
    <xf fontId="0" fillId="10" borderId="1" numFmtId="0" xfId="0" applyFill="1" applyBorder="1" applyAlignment="1">
      <alignment horizontal="left" vertical="top"/>
    </xf>
    <xf fontId="0" fillId="6" borderId="1" numFmtId="2" xfId="0" applyNumberFormat="1" applyFill="1" applyBorder="1" applyAlignment="1">
      <alignment horizontal="left" vertical="top"/>
    </xf>
    <xf fontId="0" fillId="6" borderId="1" numFmtId="0" xfId="0" applyFill="1" applyBorder="1" applyAlignment="1">
      <alignment horizontal="left" vertical="top"/>
    </xf>
    <xf fontId="0" fillId="4" borderId="1" numFmtId="2" xfId="0" applyNumberFormat="1" applyFill="1" applyBorder="1" applyAlignment="1">
      <alignment horizontal="left" vertical="top"/>
    </xf>
    <xf fontId="0" fillId="7" borderId="1" numFmtId="2" xfId="0" applyNumberFormat="1" applyFill="1" applyBorder="1" applyAlignment="1">
      <alignment horizontal="left" vertical="top"/>
    </xf>
    <xf fontId="0" fillId="7" borderId="1" numFmtId="0" xfId="0" applyFill="1" applyBorder="1" applyAlignment="1">
      <alignment horizontal="left" vertical="top"/>
    </xf>
    <xf fontId="0" fillId="8" borderId="1" numFmtId="2" xfId="0" applyNumberFormat="1" applyFill="1" applyBorder="1" applyAlignment="1">
      <alignment horizontal="left" vertical="top"/>
    </xf>
    <xf fontId="0" fillId="8" borderId="1" numFmtId="0" xfId="0" applyFill="1" applyBorder="1" applyAlignment="1">
      <alignment horizontal="left" vertical="top"/>
    </xf>
    <xf fontId="0" fillId="9" borderId="1" numFmtId="2" xfId="0" applyNumberFormat="1" applyFill="1" applyBorder="1" applyAlignment="1">
      <alignment horizontal="left" vertical="top"/>
    </xf>
    <xf fontId="0" fillId="9" borderId="1" numFmtId="0" xfId="0" applyFill="1" applyBorder="1" applyAlignment="1">
      <alignment horizontal="left" vertical="top"/>
    </xf>
    <xf fontId="0" fillId="4" borderId="0" numFmtId="2" xfId="0" applyNumberFormat="1" applyFill="1"/>
    <xf fontId="11" fillId="0" borderId="12" numFmtId="0" xfId="0" applyFont="1" applyBorder="1"/>
    <xf fontId="11" fillId="0" borderId="2" numFmtId="0" xfId="0" applyFont="1" applyBorder="1" applyAlignment="1">
      <alignment vertical="top"/>
    </xf>
    <xf fontId="11" fillId="0" borderId="4" numFmtId="0" xfId="0" applyFont="1" applyBorder="1" applyAlignment="1">
      <alignment vertical="top"/>
    </xf>
    <xf fontId="11" fillId="0" borderId="3" numFmtId="0" xfId="0" applyFont="1" applyBorder="1" applyAlignment="1">
      <alignment vertical="top"/>
    </xf>
    <xf fontId="32" fillId="7" borderId="1" numFmtId="9" xfId="0" applyNumberFormat="1" applyFont="1" applyFill="1" applyBorder="1" applyAlignment="1">
      <alignment horizontal="left" vertical="top"/>
    </xf>
    <xf fontId="40" fillId="11" borderId="1" numFmtId="0" xfId="0" applyFont="1" applyFill="1" applyBorder="1" applyAlignment="1">
      <alignment horizontal="left" vertical="top" wrapText="1"/>
    </xf>
    <xf fontId="40" fillId="11" borderId="1" numFmtId="0" xfId="0" applyFont="1" applyFill="1" applyBorder="1" applyAlignment="1">
      <alignment horizontal="left" vertical="top"/>
    </xf>
    <xf fontId="25" fillId="0" borderId="10" numFmtId="0" xfId="0" applyFont="1" applyBorder="1" applyAlignment="1">
      <alignment horizontal="center" vertical="top"/>
    </xf>
    <xf fontId="32" fillId="4" borderId="10" numFmtId="0" xfId="0" applyFont="1" applyFill="1" applyBorder="1" applyAlignment="1">
      <alignment horizontal="left" vertical="top" wrapText="1"/>
    </xf>
    <xf fontId="25" fillId="9" borderId="1" numFmtId="0" xfId="0" applyFont="1" applyFill="1" applyBorder="1" applyAlignment="1">
      <alignment horizontal="left" vertical="top" wrapText="1"/>
    </xf>
    <xf fontId="25" fillId="0" borderId="11" numFmtId="0" xfId="0" applyFont="1" applyBorder="1" applyAlignment="1">
      <alignment horizontal="center" vertical="top"/>
    </xf>
    <xf fontId="32" fillId="4" borderId="11" numFmtId="0" xfId="0" applyFont="1" applyFill="1" applyBorder="1" applyAlignment="1">
      <alignment horizontal="left" vertical="top" wrapText="1"/>
    </xf>
    <xf fontId="47" fillId="4" borderId="1" numFmtId="0" xfId="0" applyFont="1" applyFill="1" applyBorder="1" applyAlignment="1">
      <alignment horizontal="left" vertical="top" wrapText="1"/>
    </xf>
    <xf fontId="42" fillId="0" borderId="1" numFmtId="0" xfId="0" applyFont="1" applyBorder="1" applyAlignment="1">
      <alignment vertical="top" wrapText="1"/>
    </xf>
    <xf fontId="48" fillId="9" borderId="1" numFmtId="0" xfId="0" applyFont="1" applyFill="1" applyBorder="1" applyAlignment="1">
      <alignment horizontal="left" vertical="top" wrapText="1"/>
    </xf>
    <xf fontId="12" fillId="9" borderId="1" numFmtId="0" xfId="0" applyFont="1" applyFill="1" applyBorder="1" applyAlignment="1">
      <alignment vertical="top" wrapText="1"/>
      <protection hidden="0" locked="1"/>
    </xf>
    <xf fontId="48" fillId="6" borderId="1" numFmtId="0" xfId="0" applyFont="1" applyFill="1" applyBorder="1" applyAlignment="1">
      <alignment horizontal="left" vertical="top" wrapText="1"/>
    </xf>
    <xf fontId="12" fillId="6" borderId="1" numFmtId="0" xfId="0" applyFont="1" applyFill="1" applyBorder="1" applyAlignment="1">
      <alignment vertical="top" wrapText="1"/>
      <protection hidden="0" locked="1"/>
    </xf>
    <xf fontId="5" fillId="0" borderId="1" numFmtId="0" xfId="0" applyFont="1" applyBorder="1" applyAlignment="1">
      <alignment horizontal="left" vertical="top" wrapText="1"/>
    </xf>
    <xf fontId="35" fillId="4" borderId="1" numFmtId="0" xfId="0" applyFont="1" applyFill="1" applyBorder="1" applyAlignment="1">
      <alignment horizontal="left" vertical="top" wrapText="1"/>
    </xf>
    <xf fontId="41" fillId="0" borderId="0" numFmtId="0" xfId="0" applyFont="1"/>
    <xf fontId="25" fillId="0" borderId="5" numFmtId="0" xfId="0" applyFont="1" applyBorder="1" applyAlignment="1">
      <alignment horizontal="center" vertical="top"/>
    </xf>
    <xf fontId="32" fillId="4" borderId="5" numFmtId="0" xfId="0" applyFont="1" applyFill="1" applyBorder="1" applyAlignment="1">
      <alignment horizontal="left" vertical="top" wrapText="1"/>
    </xf>
    <xf fontId="11" fillId="4" borderId="1" numFmtId="0" xfId="0" applyFont="1" applyFill="1" applyBorder="1" applyAlignment="1">
      <alignment vertical="top"/>
    </xf>
    <xf fontId="32" fillId="4" borderId="0" numFmtId="0" xfId="0" applyFont="1" applyFill="1" applyAlignment="1">
      <alignment horizontal="left" vertical="top" wrapText="1"/>
    </xf>
    <xf fontId="35" fillId="4" borderId="0" numFmtId="0" xfId="0" applyFont="1" applyFill="1" applyAlignment="1">
      <alignment horizontal="left" vertical="top" wrapText="1"/>
    </xf>
    <xf fontId="25" fillId="4" borderId="0" numFmtId="2" xfId="0" applyNumberFormat="1" applyFont="1" applyFill="1" applyAlignment="1">
      <alignment horizontal="left" vertical="top" wrapText="1"/>
    </xf>
    <xf fontId="11" fillId="0" borderId="0" numFmtId="0" xfId="0" applyFont="1" applyAlignment="1">
      <alignment vertical="top" wrapText="1"/>
    </xf>
    <xf fontId="25" fillId="0" borderId="10" numFmtId="0" xfId="0" applyFont="1" applyBorder="1" applyAlignment="1">
      <alignment horizontal="left" vertical="top"/>
    </xf>
    <xf fontId="25" fillId="0" borderId="14" numFmtId="0" xfId="0" applyFont="1" applyBorder="1" applyAlignment="1">
      <alignment horizontal="left" vertical="top" wrapText="1"/>
    </xf>
    <xf fontId="25" fillId="0" borderId="15" numFmtId="0" xfId="0" applyFont="1" applyBorder="1" applyAlignment="1">
      <alignment horizontal="left" vertical="top" wrapText="1"/>
    </xf>
    <xf fontId="25" fillId="0" borderId="16" numFmtId="0" xfId="0" applyFont="1" applyBorder="1" applyAlignment="1">
      <alignment horizontal="left" vertical="top" wrapText="1"/>
    </xf>
    <xf fontId="25" fillId="8" borderId="10" numFmtId="9" xfId="0" applyNumberFormat="1" applyFont="1" applyFill="1" applyBorder="1" applyAlignment="1">
      <alignment horizontal="left" vertical="top"/>
    </xf>
    <xf fontId="25" fillId="8" borderId="10" numFmtId="0" xfId="0" applyFont="1" applyFill="1" applyBorder="1" applyAlignment="1">
      <alignment horizontal="left" vertical="top" wrapText="1"/>
    </xf>
    <xf fontId="11" fillId="0" borderId="14" numFmtId="0" xfId="0" applyFont="1" applyBorder="1" applyAlignment="1">
      <alignment horizontal="left" vertical="top" wrapText="1"/>
    </xf>
    <xf fontId="11" fillId="0" borderId="15" numFmtId="0" xfId="0" applyFont="1" applyBorder="1" applyAlignment="1">
      <alignment horizontal="left" vertical="top" wrapText="1"/>
    </xf>
    <xf fontId="11" fillId="0" borderId="16" numFmtId="0" xfId="0" applyFont="1" applyBorder="1" applyAlignment="1">
      <alignment horizontal="left" vertical="top" wrapText="1"/>
    </xf>
    <xf fontId="25" fillId="0" borderId="5" numFmtId="0" xfId="0" applyFont="1" applyBorder="1" applyAlignment="1">
      <alignment horizontal="left" vertical="top"/>
    </xf>
    <xf fontId="25" fillId="0" borderId="7" numFmtId="0" xfId="0" applyFont="1" applyBorder="1" applyAlignment="1">
      <alignment horizontal="left" vertical="top" wrapText="1"/>
    </xf>
    <xf fontId="25" fillId="0" borderId="12" numFmtId="0" xfId="0" applyFont="1" applyBorder="1" applyAlignment="1">
      <alignment horizontal="left" vertical="top" wrapText="1"/>
    </xf>
    <xf fontId="25" fillId="0" borderId="6" numFmtId="0" xfId="0" applyFont="1" applyBorder="1" applyAlignment="1">
      <alignment horizontal="left" vertical="top" wrapText="1"/>
    </xf>
    <xf fontId="25" fillId="8" borderId="5" numFmtId="9" xfId="0" applyNumberFormat="1" applyFont="1" applyFill="1" applyBorder="1" applyAlignment="1">
      <alignment horizontal="left" vertical="top"/>
    </xf>
    <xf fontId="25" fillId="8" borderId="5" numFmtId="0" xfId="0" applyFont="1" applyFill="1" applyBorder="1" applyAlignment="1">
      <alignment horizontal="left" vertical="top" wrapText="1"/>
    </xf>
    <xf fontId="11" fillId="0" borderId="7" numFmtId="0" xfId="0" applyFont="1" applyBorder="1" applyAlignment="1">
      <alignment horizontal="left" vertical="top" wrapText="1"/>
    </xf>
    <xf fontId="11" fillId="0" borderId="12" numFmtId="0" xfId="0" applyFont="1" applyBorder="1" applyAlignment="1">
      <alignment horizontal="left" vertical="top" wrapText="1"/>
    </xf>
    <xf fontId="11" fillId="0" borderId="6" numFmtId="0" xfId="0" applyFont="1" applyBorder="1" applyAlignment="1">
      <alignment horizontal="left" vertical="top" wrapText="1"/>
    </xf>
    <xf fontId="12" fillId="0" borderId="0" numFmtId="0" xfId="0" applyFont="1"/>
    <xf fontId="49" fillId="10" borderId="1" numFmtId="0" xfId="0" applyFont="1" applyFill="1" applyBorder="1" applyAlignment="1">
      <alignment horizontal="left" vertical="top" wrapText="1"/>
    </xf>
    <xf fontId="14" fillId="10" borderId="1" numFmtId="0" xfId="0" applyFont="1" applyFill="1" applyBorder="1" applyAlignment="1">
      <alignment horizontal="left" vertical="top" wrapText="1"/>
    </xf>
    <xf fontId="25" fillId="0" borderId="11" numFmtId="0" xfId="0" applyFont="1" applyBorder="1" applyAlignment="1">
      <alignment horizontal="left" vertical="top"/>
    </xf>
    <xf fontId="47" fillId="8" borderId="1" numFmtId="2" xfId="0" applyNumberFormat="1" applyFont="1" applyFill="1" applyBorder="1" applyAlignment="1">
      <alignment horizontal="left" vertical="top" wrapText="1"/>
    </xf>
    <xf fontId="37" fillId="8" borderId="1" numFmtId="0" xfId="0" applyFont="1" applyFill="1" applyBorder="1" applyAlignment="1">
      <alignment horizontal="left" vertical="top" wrapText="1"/>
    </xf>
    <xf fontId="47" fillId="7" borderId="1" numFmtId="2" xfId="0" applyNumberFormat="1" applyFont="1" applyFill="1" applyBorder="1" applyAlignment="1">
      <alignment horizontal="left" vertical="top" wrapText="1"/>
    </xf>
    <xf fontId="0" fillId="4" borderId="1" numFmtId="0" xfId="0" applyFill="1" applyBorder="1" applyAlignment="1">
      <alignment vertical="top" wrapText="1"/>
      <protection hidden="0" locked="1"/>
    </xf>
    <xf fontId="47" fillId="6" borderId="1" numFmtId="0" xfId="0" applyFont="1" applyFill="1" applyBorder="1" applyAlignment="1">
      <alignment horizontal="left" vertical="top" wrapText="1"/>
    </xf>
    <xf fontId="48" fillId="4" borderId="1" numFmtId="0" xfId="0" applyFont="1" applyFill="1" applyBorder="1" applyAlignment="1">
      <alignment horizontal="left" vertical="top" wrapText="1"/>
    </xf>
    <xf fontId="26" fillId="4" borderId="1" numFmtId="0" xfId="0" applyFont="1" applyFill="1" applyBorder="1" applyAlignment="1">
      <alignment horizontal="left" vertical="top" wrapText="1"/>
    </xf>
    <xf fontId="10" fillId="6" borderId="1" numFmtId="2" xfId="0" applyNumberFormat="1" applyFont="1" applyFill="1" applyBorder="1" applyAlignment="1">
      <alignment horizontal="left" vertical="top"/>
    </xf>
    <xf fontId="10" fillId="6" borderId="1" numFmtId="0" xfId="0" applyFont="1" applyFill="1" applyBorder="1" applyAlignment="1">
      <alignment horizontal="left" vertical="top"/>
    </xf>
    <xf fontId="10" fillId="7" borderId="1" numFmtId="0" xfId="0" applyFont="1" applyFill="1" applyBorder="1" applyAlignment="1">
      <alignment horizontal="left" vertical="top"/>
    </xf>
    <xf fontId="0" fillId="0" borderId="1" numFmtId="2" xfId="0" applyNumberFormat="1" applyBorder="1" applyAlignment="1">
      <alignment vertical="top"/>
    </xf>
    <xf fontId="25" fillId="0" borderId="12" numFmtId="0" xfId="0" applyFont="1" applyBorder="1" applyAlignment="1">
      <alignment horizontal="center" vertical="top"/>
    </xf>
    <xf fontId="32" fillId="4" borderId="12" numFmtId="0" xfId="0" applyFont="1" applyFill="1" applyBorder="1" applyAlignment="1">
      <alignment horizontal="left" vertical="top" wrapText="1"/>
    </xf>
    <xf fontId="0" fillId="0" borderId="12" numFmtId="0" xfId="0" applyBorder="1"/>
    <xf fontId="0" fillId="0" borderId="12" numFmtId="0" xfId="0" applyBorder="1" applyAlignment="1">
      <alignment wrapText="1"/>
    </xf>
    <xf fontId="0" fillId="0" borderId="12" numFmtId="2" xfId="0" applyNumberFormat="1" applyBorder="1"/>
    <xf fontId="25" fillId="7" borderId="10" numFmtId="9" xfId="0" applyNumberFormat="1" applyFont="1" applyFill="1" applyBorder="1" applyAlignment="1">
      <alignment horizontal="left" vertical="top"/>
    </xf>
    <xf fontId="25" fillId="7" borderId="10" numFmtId="0" xfId="0" applyFont="1" applyFill="1" applyBorder="1" applyAlignment="1">
      <alignment horizontal="left" vertical="top" wrapText="1"/>
    </xf>
    <xf fontId="25" fillId="7" borderId="5" numFmtId="9" xfId="0" applyNumberFormat="1" applyFont="1" applyFill="1" applyBorder="1" applyAlignment="1">
      <alignment horizontal="left" vertical="top"/>
    </xf>
    <xf fontId="25" fillId="7" borderId="5" numFmtId="0" xfId="0" applyFont="1" applyFill="1" applyBorder="1" applyAlignment="1">
      <alignment horizontal="left" vertical="top" wrapText="1"/>
    </xf>
    <xf fontId="32" fillId="8" borderId="1" numFmtId="2" xfId="0" applyNumberFormat="1" applyFont="1" applyFill="1" applyBorder="1" applyAlignment="1">
      <alignment horizontal="left" vertical="top" wrapText="1"/>
    </xf>
    <xf fontId="40" fillId="8" borderId="1" numFmtId="0" xfId="0" applyFont="1" applyFill="1" applyBorder="1" applyAlignment="1">
      <alignment vertical="top" wrapText="1"/>
      <protection hidden="0" locked="1"/>
    </xf>
    <xf fontId="13" fillId="9" borderId="1" numFmtId="0" xfId="0" applyFont="1" applyFill="1" applyBorder="1" applyAlignment="1">
      <alignment horizontal="left" vertical="top" wrapText="1"/>
    </xf>
    <xf fontId="12" fillId="10" borderId="1" numFmtId="0" xfId="0" applyFont="1" applyFill="1" applyBorder="1" applyAlignment="1">
      <alignment vertical="top" wrapText="1"/>
      <protection hidden="0" locked="1"/>
    </xf>
    <xf fontId="12" fillId="4" borderId="1" numFmtId="0" xfId="0" applyFont="1" applyFill="1" applyBorder="1" applyAlignment="1">
      <alignment horizontal="left" vertical="top" wrapText="1"/>
      <protection hidden="0" locked="1"/>
    </xf>
    <xf fontId="13" fillId="16" borderId="1" numFmtId="0" xfId="0" applyFont="1" applyFill="1" applyBorder="1" applyAlignment="1">
      <alignment horizontal="left" vertical="top" wrapText="1"/>
    </xf>
    <xf fontId="0" fillId="16" borderId="1" numFmtId="0" xfId="0" applyFill="1" applyBorder="1" applyAlignment="1">
      <alignment horizontal="left" vertical="top" wrapText="1"/>
      <protection hidden="0" locked="1"/>
    </xf>
    <xf fontId="13" fillId="0" borderId="1" numFmtId="0" xfId="0" applyFont="1" applyBorder="1" applyAlignment="1">
      <alignment horizontal="left" vertical="top" wrapText="1"/>
    </xf>
    <xf fontId="0" fillId="4" borderId="1" numFmtId="0" xfId="0" applyFill="1" applyBorder="1" applyAlignment="1">
      <alignment horizontal="left" vertical="top" wrapText="1"/>
      <protection hidden="0" locked="1"/>
    </xf>
    <xf fontId="11" fillId="0" borderId="0" numFmtId="2" xfId="0" applyNumberFormat="1" applyFont="1" applyAlignment="1">
      <alignment horizontal="left" vertical="top"/>
    </xf>
    <xf fontId="25" fillId="0" borderId="14" numFmtId="0" xfId="0" applyFont="1" applyBorder="1" applyAlignment="1">
      <alignment horizontal="left" vertical="top"/>
    </xf>
    <xf fontId="25" fillId="0" borderId="15" numFmtId="0" xfId="0" applyFont="1" applyBorder="1" applyAlignment="1">
      <alignment horizontal="left" vertical="top"/>
    </xf>
    <xf fontId="25" fillId="0" borderId="16" numFmtId="0" xfId="0" applyFont="1" applyBorder="1" applyAlignment="1">
      <alignment horizontal="left" vertical="top"/>
    </xf>
    <xf fontId="32" fillId="8" borderId="1" numFmtId="9" xfId="0" applyNumberFormat="1" applyFont="1" applyFill="1" applyBorder="1" applyAlignment="1">
      <alignment horizontal="left" vertical="top"/>
    </xf>
    <xf fontId="25" fillId="8" borderId="1" numFmtId="0" xfId="0" applyFont="1" applyFill="1" applyBorder="1" applyAlignment="1">
      <alignment horizontal="left" vertical="top" wrapText="1"/>
    </xf>
    <xf fontId="10" fillId="10" borderId="1" numFmtId="0" xfId="0" applyFont="1" applyFill="1" applyBorder="1" applyAlignment="1">
      <alignment horizontal="left" vertical="top"/>
    </xf>
    <xf fontId="0" fillId="9" borderId="1" numFmtId="0" xfId="0" applyFill="1" applyBorder="1"/>
    <xf fontId="25" fillId="0" borderId="2" numFmtId="0" xfId="0" applyFont="1" applyBorder="1" applyAlignment="1">
      <alignment horizontal="left" vertical="top"/>
    </xf>
    <xf fontId="25" fillId="0" borderId="4" numFmtId="0" xfId="0" applyFont="1" applyBorder="1" applyAlignment="1">
      <alignment horizontal="left" vertical="top"/>
    </xf>
    <xf fontId="25" fillId="0" borderId="3" numFmtId="0" xfId="0" applyFont="1" applyBorder="1" applyAlignment="1">
      <alignment horizontal="left" vertical="top"/>
    </xf>
    <xf fontId="25" fillId="0" borderId="1" numFmtId="0" xfId="0" applyFont="1" applyBorder="1" applyAlignment="1">
      <alignment horizontal="left" vertical="top"/>
    </xf>
    <xf fontId="25" fillId="0" borderId="2" numFmtId="0" xfId="0" applyFont="1" applyBorder="1" applyAlignment="1">
      <alignment horizontal="left" vertical="top" wrapText="1"/>
    </xf>
    <xf fontId="25" fillId="0" borderId="4" numFmtId="0" xfId="0" applyFont="1" applyBorder="1" applyAlignment="1">
      <alignment horizontal="left" vertical="top" wrapText="1"/>
    </xf>
    <xf fontId="25" fillId="0" borderId="3" numFmtId="0" xfId="0" applyFont="1" applyBorder="1" applyAlignment="1">
      <alignment horizontal="left" vertical="top" wrapText="1"/>
    </xf>
    <xf fontId="32" fillId="9" borderId="1" numFmtId="9" xfId="0" applyNumberFormat="1" applyFont="1" applyFill="1" applyBorder="1" applyAlignment="1">
      <alignment horizontal="left" vertical="top"/>
    </xf>
    <xf fontId="50" fillId="15" borderId="0" numFmtId="0" xfId="0" applyFont="1" applyFill="1"/>
    <xf fontId="10" fillId="15" borderId="0" numFmtId="0" xfId="0" applyFont="1" applyFill="1"/>
    <xf fontId="40" fillId="16" borderId="1" numFmtId="0" xfId="0" applyFont="1" applyFill="1" applyBorder="1" applyAlignment="1">
      <alignment vertical="top" wrapText="1"/>
      <protection hidden="0" locked="1"/>
    </xf>
    <xf fontId="11" fillId="0" borderId="12" numFmtId="2" xfId="0" applyNumberFormat="1" applyFont="1" applyBorder="1" applyAlignment="1">
      <alignment horizontal="left" vertical="top"/>
    </xf>
    <xf fontId="32" fillId="9" borderId="1" numFmtId="2" xfId="0" applyNumberFormat="1" applyFont="1" applyFill="1" applyBorder="1" applyAlignment="1">
      <alignment horizontal="left" vertical="top" wrapText="1"/>
    </xf>
    <xf fontId="10" fillId="8" borderId="1" numFmtId="0" xfId="0" applyFont="1" applyFill="1" applyBorder="1" applyAlignment="1">
      <alignment horizontal="left" vertical="top"/>
    </xf>
    <xf fontId="51" fillId="10" borderId="1" numFmtId="0" xfId="0" applyFont="1" applyFill="1" applyBorder="1" applyAlignment="1">
      <alignment horizontal="left" vertical="top"/>
    </xf>
    <xf fontId="0" fillId="9" borderId="1" numFmtId="0" xfId="0" applyFill="1" applyBorder="1" applyAlignment="1">
      <alignment horizontal="left" vertical="top" wrapText="1"/>
    </xf>
    <xf fontId="0" fillId="4" borderId="1" numFmtId="0" xfId="0" applyFill="1" applyBorder="1" applyAlignment="1">
      <alignment horizontal="left" vertical="top" wrapText="1"/>
    </xf>
    <xf fontId="25" fillId="0" borderId="7" numFmtId="0" xfId="0" applyFont="1" applyBorder="1" applyAlignment="1">
      <alignment horizontal="left" vertical="top"/>
    </xf>
    <xf fontId="0" fillId="0" borderId="4" numFmtId="0" xfId="0" applyBorder="1" applyAlignment="1">
      <alignment horizontal="left"/>
    </xf>
    <xf fontId="0" fillId="0" borderId="4" numFmtId="0" xfId="0" applyBorder="1" applyAlignment="1">
      <alignment wrapText="1"/>
    </xf>
    <xf fontId="0" fillId="4" borderId="4" numFmtId="2" xfId="0" applyNumberFormat="1" applyFill="1" applyBorder="1" applyAlignment="1">
      <alignment horizontal="left" vertical="top"/>
    </xf>
    <xf fontId="0" fillId="4" borderId="4" numFmtId="0" xfId="0" applyFill="1" applyBorder="1" applyAlignment="1">
      <alignment horizontal="left" vertical="top"/>
    </xf>
    <xf fontId="0" fillId="0" borderId="4" numFmtId="0" xfId="0" applyBorder="1" applyAlignment="1">
      <alignment vertical="top" wrapText="1"/>
    </xf>
    <xf fontId="13" fillId="4" borderId="4" numFmtId="0" xfId="0" applyFont="1" applyFill="1" applyBorder="1" applyAlignment="1">
      <alignment horizontal="left" vertical="top" wrapText="1"/>
    </xf>
    <xf fontId="0" fillId="0" borderId="3" numFmtId="0" xfId="0" applyBorder="1"/>
    <xf fontId="31" fillId="17" borderId="0" numFmtId="0" xfId="0" applyFont="1" applyFill="1" applyAlignment="1">
      <alignment horizontal="left"/>
    </xf>
    <xf fontId="25" fillId="5" borderId="1" numFmtId="0" xfId="0" applyFont="1" applyFill="1" applyBorder="1" applyAlignment="1">
      <alignment horizontal="left" vertical="top"/>
    </xf>
    <xf fontId="25" fillId="0" borderId="10" numFmtId="0" xfId="0" applyFont="1" applyBorder="1" applyAlignment="1">
      <alignment horizontal="left" vertical="top" wrapText="1"/>
    </xf>
    <xf fontId="25" fillId="0" borderId="11" numFmtId="0" xfId="0" applyFont="1" applyBorder="1" applyAlignment="1">
      <alignment horizontal="left" vertical="top" wrapText="1"/>
    </xf>
    <xf fontId="40" fillId="4" borderId="1" numFmtId="0" xfId="0" applyFont="1" applyFill="1" applyBorder="1" applyAlignment="1">
      <alignment horizontal="left" vertical="top" wrapText="1"/>
      <protection hidden="0" locked="1"/>
    </xf>
    <xf fontId="40" fillId="9" borderId="1" numFmtId="0" xfId="0" applyFont="1" applyFill="1" applyBorder="1" applyAlignment="1">
      <alignment horizontal="left" vertical="top" wrapText="1"/>
      <protection hidden="0" locked="1"/>
    </xf>
    <xf fontId="11" fillId="8" borderId="1" numFmtId="2" xfId="0" applyNumberFormat="1" applyFont="1" applyFill="1" applyBorder="1" applyAlignment="1">
      <alignment horizontal="left" vertical="top" wrapText="1"/>
    </xf>
    <xf fontId="25" fillId="0" borderId="5" numFmtId="0" xfId="0" applyFont="1" applyBorder="1" applyAlignment="1">
      <alignment horizontal="left" vertical="top" wrapText="1"/>
    </xf>
    <xf fontId="52" fillId="0" borderId="0" numFmtId="0" xfId="0" applyFont="1" applyAlignment="1">
      <alignment horizontal="left" vertical="top"/>
    </xf>
    <xf fontId="52" fillId="0" borderId="0" numFmtId="0" xfId="0" applyFont="1" applyAlignment="1">
      <alignment horizontal="left" vertical="top" wrapText="1"/>
    </xf>
    <xf fontId="27" fillId="0" borderId="0" numFmtId="0" xfId="0" applyFont="1" applyAlignment="1">
      <alignment horizontal="left" vertical="top" wrapText="1"/>
    </xf>
    <xf fontId="28" fillId="4" borderId="0" numFmtId="0" xfId="0" applyFont="1" applyFill="1" applyAlignment="1">
      <alignment horizontal="left" vertical="top" wrapText="1"/>
    </xf>
    <xf fontId="53" fillId="0" borderId="0" numFmtId="0" xfId="0" applyFont="1" applyAlignment="1">
      <alignment horizontal="left" vertical="top" wrapText="1"/>
    </xf>
    <xf fontId="27" fillId="4" borderId="0" numFmtId="0" xfId="0" applyFont="1" applyFill="1" applyAlignment="1">
      <alignment horizontal="left" vertical="top"/>
    </xf>
    <xf fontId="37" fillId="7" borderId="1" numFmtId="9" xfId="0" applyNumberFormat="1" applyFont="1" applyFill="1" applyBorder="1" applyAlignment="1">
      <alignment horizontal="left" vertical="top"/>
    </xf>
    <xf fontId="25" fillId="0" borderId="10" numFmtId="0" xfId="0" applyFont="1" applyBorder="1" applyAlignment="1">
      <alignment horizontal="center" vertical="top" wrapText="1"/>
    </xf>
    <xf fontId="28" fillId="4" borderId="1" numFmtId="0" xfId="0" applyFont="1" applyFill="1" applyBorder="1" applyAlignment="1">
      <alignment horizontal="left" vertical="top" wrapText="1"/>
    </xf>
    <xf fontId="25" fillId="0" borderId="11" numFmtId="0" xfId="0" applyFont="1" applyBorder="1" applyAlignment="1">
      <alignment horizontal="center" vertical="top" wrapText="1"/>
    </xf>
    <xf fontId="32" fillId="7" borderId="1" numFmtId="2" xfId="0" applyNumberFormat="1" applyFont="1" applyFill="1" applyBorder="1" applyAlignment="1">
      <alignment horizontal="left" vertical="top" wrapText="1"/>
    </xf>
    <xf fontId="40" fillId="7" borderId="1" numFmtId="0" xfId="0" applyFont="1" applyFill="1" applyBorder="1" applyAlignment="1">
      <alignment horizontal="left" vertical="top" wrapText="1"/>
      <protection hidden="0" locked="1"/>
    </xf>
    <xf fontId="32" fillId="6" borderId="1" numFmtId="0" xfId="0" applyFont="1" applyFill="1" applyBorder="1" applyAlignment="1">
      <alignment horizontal="left" vertical="top" wrapText="1"/>
    </xf>
    <xf fontId="40" fillId="6" borderId="1" numFmtId="0" xfId="0" applyFont="1" applyFill="1" applyBorder="1" applyAlignment="1">
      <alignment horizontal="left" vertical="top" wrapText="1"/>
      <protection hidden="0" locked="1"/>
    </xf>
    <xf fontId="10" fillId="4" borderId="1" numFmtId="0" xfId="0" applyFont="1" applyFill="1" applyBorder="1" applyAlignment="1">
      <alignment horizontal="left" vertical="top" wrapText="1"/>
      <protection hidden="0" locked="1"/>
    </xf>
    <xf fontId="40" fillId="8" borderId="1" numFmtId="0" xfId="0" applyFont="1" applyFill="1" applyBorder="1" applyAlignment="1">
      <alignment horizontal="left" vertical="top" wrapText="1"/>
      <protection hidden="0" locked="1"/>
    </xf>
    <xf fontId="25" fillId="10" borderId="1" numFmtId="2" xfId="0" applyNumberFormat="1" applyFont="1" applyFill="1" applyBorder="1" applyAlignment="1">
      <alignment horizontal="left" vertical="top" wrapText="1"/>
    </xf>
    <xf fontId="32" fillId="14" borderId="1" numFmtId="0" xfId="0" applyFont="1" applyFill="1" applyBorder="1" applyAlignment="1">
      <alignment horizontal="left" vertical="top" wrapText="1"/>
    </xf>
    <xf fontId="40" fillId="14" borderId="1" numFmtId="0" xfId="0" applyFont="1" applyFill="1" applyBorder="1" applyAlignment="1">
      <alignment horizontal="left" vertical="top" wrapText="1"/>
      <protection hidden="0" locked="1"/>
    </xf>
    <xf fontId="0" fillId="10" borderId="1" numFmtId="2" xfId="0" applyNumberFormat="1" applyFill="1" applyBorder="1" applyAlignment="1">
      <alignment horizontal="left" vertical="top"/>
    </xf>
    <xf fontId="25" fillId="0" borderId="5" numFmtId="0" xfId="0" applyFont="1" applyBorder="1" applyAlignment="1">
      <alignment horizontal="center" vertical="top" wrapText="1"/>
    </xf>
    <xf fontId="37" fillId="4" borderId="1" numFmtId="0" xfId="0" applyFont="1" applyFill="1" applyBorder="1" applyAlignment="1">
      <alignment horizontal="left" vertical="top" wrapText="1"/>
    </xf>
    <xf fontId="32" fillId="18" borderId="1" numFmtId="0" xfId="0" applyFont="1" applyFill="1" applyBorder="1" applyAlignment="1">
      <alignment horizontal="left" vertical="top" wrapText="1"/>
    </xf>
    <xf fontId="25" fillId="18" borderId="1" numFmtId="0" xfId="0" applyFont="1" applyFill="1" applyBorder="1" applyAlignment="1">
      <alignment horizontal="left" vertical="top" wrapText="1"/>
    </xf>
    <xf fontId="25" fillId="18" borderId="2" numFmtId="0" xfId="0" applyFont="1" applyFill="1" applyBorder="1" applyAlignment="1">
      <alignment horizontal="left" vertical="top" wrapText="1"/>
    </xf>
    <xf fontId="25" fillId="18" borderId="3" numFmtId="0" xfId="0" applyFont="1" applyFill="1" applyBorder="1" applyAlignment="1">
      <alignment horizontal="left" vertical="top" wrapText="1"/>
    </xf>
    <xf fontId="25" fillId="11" borderId="1" numFmtId="0" xfId="0" applyFont="1" applyFill="1" applyBorder="1" applyAlignment="1">
      <alignment horizontal="left" vertical="top"/>
    </xf>
    <xf fontId="11" fillId="0" borderId="10" numFmtId="0" xfId="0" applyFont="1" applyBorder="1" applyAlignment="1">
      <alignment horizontal="center" vertical="top" wrapText="1"/>
    </xf>
    <xf fontId="13" fillId="4" borderId="10" numFmtId="0" xfId="0" applyFont="1" applyFill="1" applyBorder="1" applyAlignment="1">
      <alignment horizontal="center" vertical="top" wrapText="1"/>
    </xf>
    <xf fontId="25" fillId="9" borderId="1" numFmtId="0" xfId="0" applyFont="1" applyFill="1" applyBorder="1" applyAlignment="1">
      <alignment vertical="top" wrapText="1"/>
    </xf>
    <xf fontId="11" fillId="0" borderId="11" numFmtId="0" xfId="0" applyFont="1" applyBorder="1" applyAlignment="1">
      <alignment horizontal="center" vertical="top" wrapText="1"/>
    </xf>
    <xf fontId="13" fillId="4" borderId="11" numFmtId="0" xfId="0" applyFont="1" applyFill="1" applyBorder="1" applyAlignment="1">
      <alignment horizontal="center" vertical="top" wrapText="1"/>
    </xf>
    <xf fontId="12" fillId="4" borderId="1" numFmtId="0" xfId="0" applyFont="1" applyFill="1" applyBorder="1" applyAlignment="1">
      <alignment vertical="top" wrapText="1"/>
      <protection hidden="0" locked="1"/>
    </xf>
    <xf fontId="0" fillId="16" borderId="1" numFmtId="0" xfId="0" applyFill="1" applyBorder="1" applyAlignment="1">
      <alignment vertical="top" wrapText="1"/>
      <protection hidden="0" locked="1"/>
    </xf>
    <xf fontId="11" fillId="0" borderId="5" numFmtId="0" xfId="0" applyFont="1" applyBorder="1" applyAlignment="1">
      <alignment horizontal="center" vertical="top" wrapText="1"/>
    </xf>
    <xf fontId="13" fillId="4" borderId="5" numFmtId="0" xfId="0" applyFont="1" applyFill="1" applyBorder="1" applyAlignment="1">
      <alignment horizontal="center" vertical="top" wrapText="1"/>
    </xf>
    <xf fontId="11" fillId="0" borderId="0" numFmtId="0" xfId="0" applyFont="1" applyAlignment="1">
      <alignment horizontal="center" vertical="top" wrapText="1"/>
    </xf>
    <xf fontId="13" fillId="4" borderId="0" numFmtId="0" xfId="0" applyFont="1" applyFill="1" applyAlignment="1">
      <alignment horizontal="center" vertical="top" wrapText="1"/>
    </xf>
    <xf fontId="0" fillId="4" borderId="0" numFmtId="0" xfId="0" applyFill="1" applyAlignment="1">
      <alignment vertical="top" wrapText="1"/>
      <protection hidden="0" locked="1"/>
    </xf>
    <xf fontId="0" fillId="0" borderId="0" numFmtId="0" xfId="0" applyAlignment="1">
      <alignment vertical="top" wrapText="1"/>
    </xf>
    <xf fontId="12" fillId="4" borderId="0" numFmtId="0" xfId="0" applyFont="1" applyFill="1" applyAlignment="1">
      <alignment vertical="top"/>
    </xf>
    <xf fontId="25" fillId="16" borderId="1" numFmtId="0" xfId="0" applyFont="1" applyFill="1" applyBorder="1" applyAlignment="1">
      <alignment horizontal="left" vertical="top" wrapText="1"/>
    </xf>
    <xf fontId="10" fillId="4" borderId="1" numFmtId="0" xfId="0" applyFont="1" applyFill="1" applyBorder="1" applyAlignment="1">
      <alignment vertical="top" wrapText="1"/>
      <protection hidden="0" locked="1"/>
    </xf>
    <xf fontId="11" fillId="0" borderId="0" numFmtId="0" xfId="0" applyFont="1" applyAlignment="1">
      <alignment horizontal="left" vertical="top" wrapText="1"/>
    </xf>
    <xf fontId="13" fillId="4" borderId="0" numFmtId="2" xfId="0" applyNumberFormat="1" applyFont="1" applyFill="1" applyAlignment="1">
      <alignment horizontal="left" vertical="top" wrapText="1"/>
    </xf>
    <xf fontId="11" fillId="4" borderId="0" numFmtId="0" xfId="0" applyFont="1" applyFill="1" applyAlignment="1">
      <alignment horizontal="left" vertical="top" wrapText="1"/>
    </xf>
    <xf fontId="13" fillId="0" borderId="0" numFmtId="0" xfId="0" applyFont="1" applyAlignment="1">
      <alignment horizontal="left" vertical="top" wrapText="1"/>
    </xf>
    <xf fontId="13" fillId="4" borderId="0" numFmtId="0" xfId="0" applyFont="1" applyFill="1" applyAlignment="1">
      <alignment horizontal="left" vertical="top"/>
    </xf>
    <xf fontId="25" fillId="9" borderId="1" numFmtId="9" xfId="0" applyNumberFormat="1" applyFont="1" applyFill="1" applyBorder="1" applyAlignment="1">
      <alignment horizontal="left" vertical="top"/>
    </xf>
    <xf fontId="25" fillId="0" borderId="1" numFmtId="0" xfId="0" applyFont="1" applyBorder="1" applyAlignment="1">
      <alignment horizontal="center" vertical="top" wrapText="1"/>
    </xf>
    <xf fontId="32" fillId="4" borderId="1" numFmtId="0" xfId="0" applyFont="1" applyFill="1" applyBorder="1" applyAlignment="1">
      <alignment horizontal="center" vertical="top" wrapText="1"/>
    </xf>
    <xf fontId="13" fillId="4" borderId="1" numFmtId="0" xfId="0" applyFont="1" applyFill="1" applyBorder="1" applyAlignment="1">
      <alignment horizontal="left" wrapText="1"/>
    </xf>
    <xf fontId="30" fillId="9" borderId="1" numFmtId="0" xfId="0" applyFont="1" applyFill="1" applyBorder="1" applyAlignment="1">
      <alignment horizontal="left" vertical="top" wrapText="1"/>
    </xf>
    <xf fontId="40" fillId="4" borderId="1" numFmtId="0" xfId="0" applyFont="1" applyFill="1" applyBorder="1" applyAlignment="1">
      <alignment vertical="top" wrapText="1"/>
      <protection hidden="0" locked="1"/>
    </xf>
    <xf fontId="0" fillId="16" borderId="1" numFmtId="2" xfId="0" applyNumberFormat="1" applyFill="1" applyBorder="1" applyAlignment="1">
      <alignment horizontal="left" vertical="top"/>
    </xf>
    <xf fontId="0" fillId="16" borderId="1" numFmtId="0" xfId="0" applyFill="1" applyBorder="1" applyAlignment="1">
      <alignment horizontal="left" vertical="top" wrapText="1"/>
    </xf>
    <xf fontId="25" fillId="0" borderId="0" numFmtId="0" xfId="0" applyFont="1" applyAlignment="1">
      <alignment horizontal="center" vertical="top" wrapText="1"/>
    </xf>
    <xf fontId="40" fillId="18" borderId="1" numFmtId="0" xfId="0" applyFont="1" applyFill="1" applyBorder="1" applyAlignment="1">
      <alignment horizontal="left" vertical="top" wrapText="1"/>
    </xf>
    <xf fontId="40" fillId="0" borderId="10" numFmtId="0" xfId="0" applyFont="1" applyBorder="1" applyAlignment="1">
      <alignment horizontal="center" vertical="top" wrapText="1"/>
    </xf>
    <xf fontId="32" fillId="9" borderId="1" numFmtId="0" xfId="0" applyFont="1" applyFill="1" applyBorder="1" applyAlignment="1">
      <alignment horizontal="left" vertical="top"/>
    </xf>
    <xf fontId="40" fillId="0" borderId="11" numFmtId="0" xfId="0" applyFont="1" applyBorder="1" applyAlignment="1">
      <alignment horizontal="center" vertical="top" wrapText="1"/>
    </xf>
    <xf fontId="32" fillId="4" borderId="1" numFmtId="0" xfId="0" applyFont="1" applyFill="1" applyBorder="1" applyAlignment="1">
      <alignment horizontal="left" vertical="top"/>
    </xf>
    <xf fontId="25" fillId="4" borderId="1" numFmtId="0" xfId="0" applyFont="1" applyFill="1" applyBorder="1" applyAlignment="1">
      <alignment horizontal="left" vertical="top" wrapText="1"/>
    </xf>
    <xf fontId="40" fillId="0" borderId="5" numFmtId="0" xfId="0" applyFont="1" applyBorder="1" applyAlignment="1">
      <alignment horizontal="center" vertical="top" wrapText="1"/>
    </xf>
    <xf fontId="12" fillId="0" borderId="0" numFmtId="0" xfId="0" applyFont="1" applyAlignment="1">
      <alignment horizontal="left" vertical="top"/>
    </xf>
    <xf fontId="12" fillId="4" borderId="0" numFmtId="2" xfId="0" applyNumberFormat="1" applyFont="1" applyFill="1" applyAlignment="1">
      <alignment horizontal="left" vertical="top"/>
    </xf>
    <xf fontId="0" fillId="4" borderId="0" numFmtId="0" xfId="0" applyFill="1" applyAlignment="1">
      <alignment vertical="top"/>
      <protection hidden="0" locked="1"/>
    </xf>
    <xf fontId="21" fillId="0" borderId="0" numFmtId="0" xfId="0" applyFont="1" applyAlignment="1">
      <alignment horizontal="left" vertical="top"/>
    </xf>
    <xf fontId="37" fillId="9" borderId="1" numFmtId="9" xfId="0" applyNumberFormat="1" applyFont="1" applyFill="1" applyBorder="1" applyAlignment="1">
      <alignment horizontal="left" vertical="top"/>
    </xf>
    <xf fontId="32" fillId="7" borderId="1" numFmtId="2" xfId="0" applyNumberFormat="1" applyFont="1" applyFill="1" applyBorder="1" applyAlignment="1">
      <alignment horizontal="left" vertical="top"/>
    </xf>
    <xf fontId="32" fillId="8" borderId="1" numFmtId="0" xfId="0" applyFont="1" applyFill="1" applyBorder="1" applyAlignment="1">
      <alignment horizontal="left" vertical="top"/>
    </xf>
    <xf fontId="40" fillId="8" borderId="1" numFmtId="0" xfId="0" applyFont="1" applyFill="1" applyBorder="1" applyAlignment="1">
      <alignment vertical="top" wrapText="1"/>
    </xf>
    <xf fontId="36" fillId="4" borderId="1" numFmtId="0" xfId="0" applyFont="1" applyFill="1" applyBorder="1" applyAlignment="1">
      <alignment horizontal="left" vertical="top"/>
    </xf>
    <xf fontId="36" fillId="4" borderId="1" numFmtId="0" xfId="0" applyFont="1" applyFill="1" applyBorder="1" applyAlignment="1">
      <alignment horizontal="left" vertical="top" wrapText="1"/>
    </xf>
    <xf fontId="36" fillId="10" borderId="1" numFmtId="0" xfId="0" applyFont="1" applyFill="1" applyBorder="1" applyAlignment="1">
      <alignment horizontal="left" vertical="top" wrapText="1"/>
    </xf>
    <xf fontId="38" fillId="16" borderId="1" numFmtId="0" xfId="0" applyFont="1" applyFill="1" applyBorder="1" applyAlignment="1">
      <alignment horizontal="left" vertical="top" wrapText="1"/>
    </xf>
    <xf fontId="12" fillId="16" borderId="1" numFmtId="0" xfId="0" applyFont="1" applyFill="1" applyBorder="1" applyAlignment="1">
      <alignment horizontal="left" vertical="top" wrapText="1"/>
    </xf>
    <xf fontId="40" fillId="0" borderId="0" numFmtId="0" xfId="0" applyFont="1" applyAlignment="1">
      <alignment horizontal="center" vertical="top" wrapText="1"/>
    </xf>
    <xf fontId="12" fillId="4" borderId="0" numFmtId="0" xfId="0" applyFont="1" applyFill="1" applyAlignment="1">
      <alignment horizontal="left" vertical="top" wrapText="1"/>
    </xf>
    <xf fontId="12" fillId="0" borderId="12" numFmtId="0" xfId="0" applyFont="1" applyBorder="1" applyAlignment="1">
      <alignment horizontal="left" vertical="top"/>
    </xf>
    <xf fontId="37" fillId="8" borderId="1" numFmtId="9" xfId="0" applyNumberFormat="1" applyFont="1" applyFill="1" applyBorder="1" applyAlignment="1">
      <alignment horizontal="left" vertical="top"/>
    </xf>
    <xf fontId="0" fillId="8" borderId="1" numFmtId="0" xfId="0" applyFill="1" applyBorder="1" applyAlignment="1">
      <alignment vertical="top" wrapText="1"/>
      <protection hidden="0" locked="1"/>
    </xf>
    <xf fontId="31" fillId="15" borderId="0" numFmtId="0" xfId="0" applyFont="1" applyFill="1"/>
    <xf fontId="0" fillId="15" borderId="0" numFmtId="0" xfId="0" applyFill="1"/>
    <xf fontId="13" fillId="0" borderId="1" numFmtId="0" xfId="0" applyFont="1" applyBorder="1" applyAlignment="1">
      <alignment vertical="top" wrapText="1"/>
    </xf>
    <xf fontId="0" fillId="0" borderId="3" numFmtId="0" xfId="0" applyBorder="1" applyAlignment="1">
      <alignment vertical="top" wrapText="1"/>
    </xf>
    <xf fontId="0" fillId="0" borderId="0" numFmtId="0" xfId="0" applyAlignment="1">
      <alignment horizontal="left" wrapText="1"/>
    </xf>
    <xf fontId="11" fillId="4" borderId="0" numFmtId="0" xfId="0" applyFont="1" applyFill="1" applyAlignment="1">
      <alignment vertical="top" wrapText="1"/>
    </xf>
    <xf fontId="25" fillId="0" borderId="0" numFmtId="0" xfId="0" applyFont="1" applyAlignment="1">
      <alignment horizontal="left"/>
    </xf>
    <xf fontId="11" fillId="0" borderId="0" numFmtId="0" xfId="0" applyFont="1" applyAlignment="1">
      <alignment horizontal="left"/>
      <protection hidden="0" locked="1"/>
    </xf>
    <xf fontId="32" fillId="10" borderId="1" numFmtId="9" xfId="0" applyNumberFormat="1" applyFont="1" applyFill="1" applyBorder="1" applyAlignment="1">
      <alignment horizontal="left" vertical="top"/>
    </xf>
    <xf fontId="12" fillId="0" borderId="0" numFmtId="0" xfId="0" applyFont="1" applyAlignment="1">
      <alignment wrapText="1"/>
    </xf>
    <xf fontId="12" fillId="0" borderId="1" numFmtId="0" xfId="0" applyFont="1" applyBorder="1" applyAlignment="1">
      <alignment horizontal="left" wrapText="1"/>
    </xf>
    <xf fontId="25" fillId="6" borderId="1" numFmtId="0" xfId="0" applyFont="1" applyFill="1" applyBorder="1" applyAlignment="1">
      <alignment horizontal="left" vertical="top" wrapText="1"/>
    </xf>
    <xf fontId="25" fillId="0" borderId="12" numFmtId="0" xfId="0" applyFont="1" applyBorder="1" applyAlignment="1">
      <alignment horizontal="left"/>
    </xf>
    <xf fontId="11" fillId="0" borderId="12" numFmtId="0" xfId="0" applyFont="1" applyBorder="1" applyAlignment="1">
      <alignment horizontal="left"/>
      <protection hidden="0" locked="1"/>
    </xf>
    <xf fontId="32" fillId="10" borderId="1" numFmtId="49" xfId="0" applyNumberFormat="1" applyFont="1" applyFill="1" applyBorder="1" applyAlignment="1">
      <alignment horizontal="left" vertical="top"/>
    </xf>
    <xf fontId="5" fillId="0" borderId="1" numFmtId="0" xfId="0" applyFont="1" applyBorder="1" applyAlignment="1">
      <alignment wrapText="1"/>
    </xf>
    <xf fontId="40" fillId="6" borderId="1" numFmtId="0" xfId="0" applyFont="1" applyFill="1" applyBorder="1" applyAlignment="1">
      <alignment vertical="top" wrapText="1"/>
      <protection hidden="0" locked="1"/>
    </xf>
    <xf fontId="12" fillId="0" borderId="1" numFmtId="0" xfId="0" applyFont="1" applyBorder="1" applyAlignment="1">
      <alignment horizontal="left" vertical="top"/>
      <protection hidden="0" locked="1"/>
    </xf>
    <xf fontId="12" fillId="0" borderId="1" numFmtId="0" xfId="0" applyFont="1" applyBorder="1" applyAlignment="1">
      <alignment horizontal="left" vertical="top" wrapText="1"/>
      <protection hidden="0" locked="1"/>
    </xf>
    <xf fontId="21" fillId="0" borderId="12" numFmtId="0" xfId="0" applyFont="1" applyBorder="1" applyAlignment="1">
      <alignment horizontal="left" vertical="top"/>
    </xf>
    <xf fontId="12" fillId="0" borderId="12" numFmtId="0" xfId="0" applyFont="1" applyBorder="1" applyAlignment="1">
      <alignment horizontal="left" vertical="top"/>
      <protection hidden="0" locked="1"/>
    </xf>
    <xf fontId="32" fillId="9" borderId="1" numFmtId="9" xfId="0" applyNumberFormat="1" applyFont="1" applyFill="1" applyBorder="1" applyAlignment="1">
      <alignment horizontal="left" vertical="top" wrapText="1"/>
    </xf>
    <xf fontId="40" fillId="9" borderId="1" numFmtId="0" xfId="0" applyFont="1" applyFill="1" applyBorder="1" applyAlignment="1">
      <alignment horizontal="left" vertical="top" wrapText="1"/>
    </xf>
    <xf fontId="50" fillId="15" borderId="0" numFmtId="0" xfId="0" applyFont="1" applyFill="1" applyAlignment="1">
      <alignment horizontal="left"/>
    </xf>
    <xf fontId="47" fillId="9" borderId="1" numFmtId="0" xfId="0" applyFont="1" applyFill="1" applyBorder="1" applyAlignment="1">
      <alignment horizontal="left" vertical="top" wrapText="1"/>
    </xf>
    <xf fontId="0" fillId="9" borderId="1" numFmtId="2" xfId="0" applyNumberFormat="1" applyFill="1" applyBorder="1" applyAlignment="1">
      <alignment horizontal="left" vertical="top" wrapText="1"/>
    </xf>
    <xf fontId="54" fillId="0" borderId="1" numFmtId="0" xfId="0" applyFont="1" applyBorder="1" applyAlignment="1">
      <alignment horizontal="left" vertical="top" wrapText="1"/>
    </xf>
    <xf fontId="32" fillId="7" borderId="1" numFmtId="9" xfId="0" applyNumberFormat="1" applyFont="1" applyFill="1" applyBorder="1" applyAlignment="1">
      <alignment horizontal="left" vertical="top" wrapText="1"/>
    </xf>
    <xf fontId="50" fillId="17" borderId="0" numFmtId="0" xfId="0" applyFont="1" applyFill="1"/>
    <xf fontId="0" fillId="17" borderId="0" numFmtId="0" xfId="0" applyFill="1"/>
    <xf fontId="0" fillId="17" borderId="0" numFmtId="0" xfId="0" applyFill="1" applyAlignment="1">
      <alignment vertical="top"/>
    </xf>
    <xf fontId="32" fillId="0" borderId="10" numFmtId="0" xfId="0" applyFont="1" applyBorder="1" applyAlignment="1">
      <alignment horizontal="left" vertical="top"/>
    </xf>
    <xf fontId="32" fillId="8" borderId="1" numFmtId="2" xfId="0" applyNumberFormat="1" applyFont="1" applyFill="1" applyBorder="1" applyAlignment="1">
      <alignment horizontal="left" vertical="top"/>
    </xf>
    <xf fontId="32" fillId="0" borderId="11" numFmtId="0" xfId="0" applyFont="1" applyBorder="1" applyAlignment="1">
      <alignment horizontal="left" vertical="top"/>
    </xf>
    <xf fontId="37" fillId="10" borderId="1" numFmtId="0" xfId="0" applyFont="1" applyFill="1" applyBorder="1" applyAlignment="1">
      <alignment horizontal="left" vertical="top"/>
    </xf>
    <xf fontId="13" fillId="4" borderId="1" numFmtId="2" xfId="0" applyNumberFormat="1" applyFont="1" applyFill="1" applyBorder="1" applyAlignment="1">
      <alignment horizontal="left" vertical="top" wrapText="1"/>
    </xf>
    <xf fontId="32" fillId="0" borderId="5" numFmtId="0" xfId="0" applyFont="1" applyBorder="1" applyAlignment="1">
      <alignment horizontal="left" vertical="top"/>
    </xf>
    <xf fontId="11" fillId="10" borderId="1" numFmtId="2" xfId="0" applyNumberFormat="1" applyFont="1" applyFill="1" applyBorder="1" applyAlignment="1">
      <alignment horizontal="left" vertical="top"/>
    </xf>
    <xf fontId="32" fillId="0" borderId="10" numFmtId="0" xfId="0" applyFont="1" applyBorder="1" applyAlignment="1">
      <alignment horizontal="center" vertical="top"/>
    </xf>
    <xf fontId="32" fillId="7" borderId="1" numFmtId="0" xfId="0" applyFont="1" applyFill="1" applyBorder="1" applyAlignment="1">
      <alignment horizontal="left" vertical="top"/>
    </xf>
    <xf fontId="32" fillId="0" borderId="11" numFmtId="0" xfId="0" applyFont="1" applyBorder="1" applyAlignment="1">
      <alignment horizontal="center" vertical="top"/>
    </xf>
    <xf fontId="32" fillId="6" borderId="1" numFmtId="2" xfId="0" applyNumberFormat="1" applyFont="1" applyFill="1" applyBorder="1" applyAlignment="1">
      <alignment horizontal="left" vertical="top" wrapText="1"/>
    </xf>
    <xf fontId="10" fillId="10" borderId="1" numFmtId="0" xfId="0" applyFont="1" applyFill="1" applyBorder="1" applyAlignment="1">
      <alignment horizontal="left" vertical="top" wrapText="1"/>
    </xf>
    <xf fontId="10" fillId="10" borderId="1" numFmtId="2" xfId="0" applyNumberFormat="1" applyFont="1" applyFill="1" applyBorder="1" applyAlignment="1">
      <alignment horizontal="left" vertical="top" wrapText="1"/>
    </xf>
    <xf fontId="0" fillId="6" borderId="1" numFmtId="0" xfId="0" applyFill="1" applyBorder="1" applyAlignment="1">
      <alignment horizontal="left" vertical="top" wrapText="1"/>
    </xf>
    <xf fontId="10" fillId="16" borderId="1" numFmtId="2" xfId="0" applyNumberFormat="1" applyFont="1" applyFill="1" applyBorder="1" applyAlignment="1">
      <alignment horizontal="left" vertical="top"/>
    </xf>
    <xf fontId="32" fillId="0" borderId="5" numFmtId="0" xfId="0" applyFont="1" applyBorder="1" applyAlignment="1">
      <alignment horizontal="center" vertical="top"/>
    </xf>
    <xf fontId="0" fillId="10" borderId="1" numFmtId="0" xfId="0" applyFill="1" applyBorder="1" applyAlignment="1">
      <alignment vertical="top" wrapText="1"/>
      <protection hidden="0" locked="1"/>
    </xf>
    <xf fontId="31" fillId="17" borderId="0" numFmtId="0" xfId="0" applyFont="1" applyFill="1"/>
    <xf fontId="11" fillId="0" borderId="1" numFmtId="0" xfId="0" applyFont="1" applyBorder="1" applyAlignment="1">
      <alignment horizontal="center" vertical="top"/>
    </xf>
    <xf fontId="13" fillId="4" borderId="1" numFmtId="0" xfId="0" applyFont="1" applyFill="1" applyBorder="1" applyAlignment="1">
      <alignment horizontal="center" vertical="top" wrapText="1"/>
    </xf>
    <xf fontId="37" fillId="9" borderId="1" numFmtId="2" xfId="0" applyNumberFormat="1" applyFont="1" applyFill="1" applyBorder="1" applyAlignment="1">
      <alignment horizontal="left" vertical="top"/>
    </xf>
    <xf fontId="25" fillId="16" borderId="0" numFmtId="0" xfId="0" applyFont="1" applyFill="1" applyAlignment="1">
      <alignment horizontal="left" vertical="top" wrapText="1"/>
    </xf>
    <xf fontId="12" fillId="9" borderId="1" numFmtId="0" xfId="0" applyFont="1" applyFill="1" applyBorder="1" applyAlignment="1">
      <alignment horizontal="left" vertical="top" wrapText="1"/>
    </xf>
    <xf fontId="14" fillId="4" borderId="1" numFmtId="0" xfId="0" applyFont="1" applyFill="1" applyBorder="1" applyAlignment="1">
      <alignment vertical="top" wrapText="1"/>
    </xf>
    <xf fontId="11" fillId="0" borderId="0" numFmtId="0" xfId="0" applyFont="1" applyAlignment="1">
      <alignment wrapText="1"/>
    </xf>
    <xf fontId="48" fillId="4" borderId="1" numFmtId="0" xfId="0" applyFont="1" applyFill="1" applyBorder="1" applyAlignment="1">
      <alignment vertical="top" wrapText="1"/>
    </xf>
    <xf fontId="11" fillId="0" borderId="0" numFmtId="0" xfId="0" applyFont="1" applyAlignment="1">
      <alignment horizontal="center" vertical="top"/>
    </xf>
    <xf fontId="25" fillId="19" borderId="0" numFmtId="2" xfId="0" applyNumberFormat="1" applyFont="1" applyFill="1" applyAlignment="1">
      <alignment horizontal="left" vertical="top" wrapText="1"/>
    </xf>
    <xf fontId="25" fillId="19" borderId="0" numFmtId="0" xfId="0" applyFont="1" applyFill="1" applyAlignment="1">
      <alignment horizontal="left" vertical="top" wrapText="1"/>
    </xf>
    <xf fontId="48" fillId="4" borderId="0" numFmtId="0" xfId="0" applyFont="1" applyFill="1" applyAlignment="1">
      <alignment vertical="top" wrapText="1"/>
    </xf>
    <xf fontId="32" fillId="6" borderId="1" numFmtId="9" xfId="0" applyNumberFormat="1" applyFont="1" applyFill="1" applyBorder="1" applyAlignment="1">
      <alignment vertical="top"/>
    </xf>
    <xf fontId="32" fillId="4" borderId="1" numFmtId="0" xfId="0" applyFont="1" applyFill="1" applyBorder="1" applyAlignment="1">
      <alignment vertical="top" wrapText="1"/>
    </xf>
    <xf fontId="11" fillId="0" borderId="10" numFmtId="0" xfId="0" applyFont="1" applyBorder="1" applyAlignment="1">
      <alignment horizontal="center" vertical="top"/>
    </xf>
    <xf fontId="25" fillId="16" borderId="1" numFmtId="0" xfId="0" applyFont="1" applyFill="1" applyBorder="1" applyAlignment="1">
      <alignment horizontal="left" vertical="top"/>
    </xf>
    <xf fontId="11" fillId="0" borderId="11" numFmtId="0" xfId="0" applyFont="1" applyBorder="1" applyAlignment="1">
      <alignment horizontal="center" vertical="top"/>
    </xf>
    <xf fontId="25" fillId="9" borderId="1" numFmtId="0" xfId="0" applyFont="1" applyFill="1" applyBorder="1" applyAlignment="1">
      <alignment horizontal="left" vertical="top"/>
    </xf>
    <xf fontId="11" fillId="0" borderId="5" numFmtId="0" xfId="0" applyFont="1" applyBorder="1" applyAlignment="1">
      <alignment horizontal="center" vertical="top"/>
    </xf>
    <xf fontId="32" fillId="4" borderId="1" numFmtId="10" xfId="0" applyNumberFormat="1" applyFont="1" applyFill="1" applyBorder="1" applyAlignment="1">
      <alignment horizontal="left" vertical="top"/>
    </xf>
    <xf fontId="25" fillId="16" borderId="2" numFmtId="0" xfId="0" applyFont="1" applyFill="1" applyBorder="1" applyAlignment="1">
      <alignment horizontal="left" vertical="top" wrapText="1"/>
    </xf>
    <xf fontId="25" fillId="16" borderId="3" numFmtId="0" xfId="0" applyFont="1" applyFill="1" applyBorder="1" applyAlignment="1">
      <alignment horizontal="left" vertical="top" wrapText="1"/>
    </xf>
    <xf fontId="36" fillId="9" borderId="1" numFmtId="1" xfId="0" applyNumberFormat="1" applyFont="1" applyFill="1" applyBorder="1" applyAlignment="1">
      <alignment horizontal="left" vertical="top" wrapText="1"/>
    </xf>
    <xf fontId="25" fillId="9" borderId="1" numFmtId="1" xfId="0" applyNumberFormat="1" applyFont="1" applyFill="1" applyBorder="1" applyAlignment="1">
      <alignment horizontal="left" vertical="top" wrapText="1"/>
    </xf>
    <xf fontId="36" fillId="9" borderId="1" numFmtId="2" xfId="0" applyNumberFormat="1" applyFont="1" applyFill="1" applyBorder="1" applyAlignment="1">
      <alignment horizontal="left" vertical="top" wrapText="1"/>
    </xf>
    <xf fontId="36" fillId="10" borderId="1" numFmtId="2" xfId="0" applyNumberFormat="1" applyFont="1" applyFill="1" applyBorder="1" applyAlignment="1">
      <alignment horizontal="left" vertical="top" wrapText="1"/>
    </xf>
    <xf fontId="10" fillId="10" borderId="1" numFmtId="0" xfId="0" applyFont="1" applyFill="1" applyBorder="1" applyAlignment="1">
      <alignment vertical="top" wrapText="1"/>
      <protection hidden="0" locked="1"/>
    </xf>
    <xf fontId="36" fillId="6" borderId="1" numFmtId="2" xfId="0" applyNumberFormat="1" applyFont="1" applyFill="1" applyBorder="1" applyAlignment="1">
      <alignment horizontal="left" vertical="top" wrapText="1"/>
    </xf>
    <xf fontId="30" fillId="6" borderId="1" numFmtId="0" xfId="0" applyFont="1" applyFill="1" applyBorder="1" applyAlignment="1">
      <alignment horizontal="left" vertical="top" wrapText="1"/>
    </xf>
    <xf fontId="26" fillId="7" borderId="1" numFmtId="2" xfId="0" applyNumberFormat="1" applyFont="1" applyFill="1" applyBorder="1" applyAlignment="1">
      <alignment horizontal="left" vertical="top" wrapText="1"/>
    </xf>
    <xf fontId="29" fillId="7" borderId="1" numFmtId="0" xfId="0" applyFont="1" applyFill="1" applyBorder="1" applyAlignment="1">
      <alignment horizontal="left" vertical="top" wrapText="1"/>
    </xf>
    <xf fontId="11" fillId="7" borderId="1" numFmtId="2" xfId="0" applyNumberFormat="1" applyFont="1" applyFill="1" applyBorder="1" applyAlignment="1">
      <alignment horizontal="left" vertical="top"/>
    </xf>
    <xf fontId="0" fillId="7" borderId="1" numFmtId="0" xfId="0" applyFill="1" applyBorder="1" applyAlignment="1">
      <alignment vertical="top" wrapText="1"/>
      <protection hidden="0" locked="1"/>
    </xf>
    <xf fontId="55" fillId="0" borderId="1" numFmtId="0" xfId="0" applyFont="1" applyBorder="1" applyAlignment="1">
      <alignment horizontal="left" vertical="top" wrapText="1"/>
    </xf>
    <xf fontId="11" fillId="10" borderId="1" numFmtId="2" xfId="0" applyNumberFormat="1" applyFont="1" applyFill="1" applyBorder="1" applyAlignment="1">
      <alignment horizontal="left" vertical="top" wrapText="1"/>
    </xf>
    <xf fontId="29" fillId="10" borderId="1" numFmtId="0" xfId="0" applyFont="1" applyFill="1" applyBorder="1" applyAlignment="1">
      <alignment horizontal="left" vertical="top" wrapText="1"/>
    </xf>
    <xf fontId="28" fillId="0" borderId="1" numFmtId="0" xfId="0" applyFont="1" applyBorder="1" applyAlignment="1">
      <alignment horizontal="left" vertical="top" wrapText="1"/>
    </xf>
    <xf fontId="12" fillId="0" borderId="1" numFmtId="0" xfId="0" applyFont="1" applyBorder="1" applyAlignment="1">
      <alignment horizontal="left" vertical="top"/>
    </xf>
    <xf fontId="0" fillId="9" borderId="1" numFmtId="0" xfId="0" applyFill="1" applyBorder="1" applyAlignment="1">
      <alignment horizontal="left" vertical="top" wrapText="1"/>
      <protection hidden="0" locked="1"/>
    </xf>
    <xf fontId="38" fillId="4" borderId="1" numFmtId="0" xfId="0" applyFont="1" applyFill="1" applyBorder="1" applyAlignment="1">
      <alignment vertical="top" wrapText="1"/>
    </xf>
    <xf fontId="38" fillId="10" borderId="1" numFmtId="2" xfId="0" applyNumberFormat="1" applyFont="1" applyFill="1" applyBorder="1" applyAlignment="1">
      <alignment horizontal="left" vertical="top" wrapText="1"/>
    </xf>
    <xf fontId="25" fillId="0" borderId="0" numFmtId="0" xfId="0" applyFont="1" applyAlignment="1">
      <alignment horizontal="center" vertical="top"/>
    </xf>
    <xf fontId="0" fillId="4" borderId="0" numFmtId="2" xfId="0" applyNumberFormat="1" applyFill="1" applyAlignment="1">
      <alignment horizontal="left" vertical="top"/>
    </xf>
    <xf fontId="0" fillId="0" borderId="0" numFmtId="2" xfId="0" applyNumberFormat="1" applyAlignment="1">
      <alignment horizontal="left"/>
    </xf>
    <xf fontId="52" fillId="0" borderId="0" numFmtId="0" xfId="0" applyFont="1" applyAlignment="1">
      <alignment horizontal="left"/>
    </xf>
    <xf fontId="46" fillId="9" borderId="1" numFmtId="0" xfId="0" applyFont="1" applyFill="1" applyBorder="1" applyAlignment="1">
      <alignment vertical="top" wrapText="1"/>
      <protection hidden="0" locked="1"/>
    </xf>
    <xf fontId="10" fillId="16" borderId="1" numFmtId="0" xfId="0" applyFont="1" applyFill="1" applyBorder="1" applyAlignment="1">
      <alignment vertical="top" wrapText="1"/>
      <protection hidden="0" locked="1"/>
    </xf>
    <xf fontId="42" fillId="0" borderId="1" numFmtId="0" xfId="0" applyFont="1" applyBorder="1" applyAlignment="1">
      <alignment wrapText="1"/>
    </xf>
    <xf fontId="38" fillId="4" borderId="1" numFmtId="2" xfId="0" applyNumberFormat="1" applyFont="1" applyFill="1" applyBorder="1" applyAlignment="1">
      <alignment horizontal="left" vertical="top" wrapText="1"/>
    </xf>
    <xf fontId="36" fillId="8" borderId="1" numFmtId="2" xfId="0" applyNumberFormat="1" applyFont="1" applyFill="1" applyBorder="1" applyAlignment="1">
      <alignment horizontal="left" vertical="top" wrapText="1"/>
    </xf>
    <xf fontId="10" fillId="8" borderId="1" numFmtId="0" xfId="0" applyFont="1" applyFill="1" applyBorder="1" applyAlignment="1">
      <alignment horizontal="left" vertical="top" wrapText="1"/>
      <protection hidden="0" locked="1"/>
    </xf>
    <xf fontId="5" fillId="0" borderId="1" numFmtId="0" xfId="0" applyFont="1" applyBorder="1" applyAlignment="1">
      <alignment horizontal="left" wrapText="1"/>
    </xf>
    <xf fontId="0" fillId="8" borderId="1" numFmtId="0" xfId="0" applyFill="1" applyBorder="1" applyAlignment="1">
      <alignment horizontal="left" vertical="top" wrapText="1"/>
    </xf>
    <xf fontId="10" fillId="7" borderId="1" numFmtId="0" xfId="0" applyFont="1" applyFill="1" applyBorder="1" applyAlignment="1">
      <alignment horizontal="left" vertical="top" wrapText="1"/>
    </xf>
    <xf fontId="0" fillId="9" borderId="1" numFmtId="0" xfId="0" applyFill="1" applyBorder="1" applyAlignment="1">
      <alignment vertical="top" wrapText="1"/>
    </xf>
    <xf fontId="25" fillId="9" borderId="1" numFmtId="2" xfId="0" applyNumberFormat="1" applyFont="1" applyFill="1" applyBorder="1" applyAlignment="1">
      <alignment horizontal="left" vertical="top"/>
    </xf>
    <xf fontId="25" fillId="14" borderId="1" numFmtId="0" xfId="0" applyFont="1" applyFill="1" applyBorder="1" applyAlignment="1">
      <alignment horizontal="left" vertical="top" wrapText="1"/>
    </xf>
    <xf fontId="13" fillId="14" borderId="1" numFmtId="0" xfId="0" applyFont="1" applyFill="1" applyBorder="1" applyAlignment="1">
      <alignment horizontal="left" vertical="top" wrapText="1"/>
    </xf>
    <xf fontId="11" fillId="14" borderId="1" numFmtId="0" xfId="0" applyFont="1" applyFill="1" applyBorder="1" applyAlignment="1">
      <alignment horizontal="left" vertical="top" wrapText="1"/>
    </xf>
    <xf fontId="41" fillId="4" borderId="0" numFmtId="0" xfId="0" applyFont="1" applyFill="1" applyAlignment="1">
      <alignment vertical="top" wrapText="1"/>
    </xf>
    <xf fontId="14" fillId="14" borderId="1" numFmtId="0" xfId="0" applyFont="1" applyFill="1" applyBorder="1" applyAlignment="1">
      <alignment horizontal="left" vertical="top"/>
    </xf>
    <xf fontId="14" fillId="14" borderId="1" numFmtId="0" xfId="0" applyFont="1" applyFill="1" applyBorder="1" applyAlignment="1">
      <alignment horizontal="left" vertical="top" wrapText="1"/>
    </xf>
    <xf fontId="11" fillId="4" borderId="1" numFmtId="2" xfId="0" applyNumberFormat="1" applyFont="1" applyFill="1" applyBorder="1" applyAlignment="1">
      <alignment horizontal="left" vertical="top"/>
    </xf>
    <xf fontId="11" fillId="4" borderId="1" numFmtId="0" xfId="0" applyFont="1" applyFill="1" applyBorder="1" applyAlignment="1">
      <alignment horizontal="center" vertical="top" wrapText="1"/>
    </xf>
    <xf fontId="11" fillId="4" borderId="0" numFmtId="2" xfId="0" applyNumberFormat="1" applyFont="1" applyFill="1" applyAlignment="1">
      <alignment horizontal="left"/>
    </xf>
    <xf fontId="11" fillId="4" borderId="0" numFmtId="0" xfId="0" applyFont="1" applyFill="1" applyAlignment="1">
      <alignment horizontal="center"/>
    </xf>
    <xf fontId="56" fillId="8" borderId="1" numFmtId="0" xfId="0" applyFont="1" applyFill="1" applyBorder="1" applyAlignment="1">
      <alignment horizontal="left" vertical="top"/>
    </xf>
    <xf fontId="56" fillId="8" borderId="1" numFmtId="0" xfId="0" applyFont="1" applyFill="1" applyBorder="1" applyAlignment="1">
      <alignment horizontal="left" vertical="top" wrapText="1"/>
    </xf>
    <xf fontId="56" fillId="9" borderId="1" numFmtId="0" xfId="0" applyFont="1" applyFill="1" applyBorder="1" applyAlignment="1">
      <alignment horizontal="left" vertical="top"/>
    </xf>
    <xf fontId="56" fillId="9" borderId="1" numFmtId="0" xfId="0" applyFont="1" applyFill="1" applyBorder="1" applyAlignment="1">
      <alignment horizontal="left" vertical="top" wrapText="1"/>
    </xf>
    <xf fontId="56" fillId="9" borderId="1" numFmtId="2" xfId="0" applyNumberFormat="1" applyFont="1" applyFill="1" applyBorder="1" applyAlignment="1">
      <alignment horizontal="left" vertical="top" wrapText="1"/>
    </xf>
    <xf fontId="57" fillId="9" borderId="1" numFmtId="2" xfId="0" applyNumberFormat="1" applyFont="1" applyFill="1" applyBorder="1" applyAlignment="1">
      <alignment horizontal="left" vertical="top" wrapText="1"/>
    </xf>
    <xf fontId="56" fillId="6" borderId="1" numFmtId="0" xfId="0" applyFont="1" applyFill="1" applyBorder="1" applyAlignment="1">
      <alignment horizontal="left" vertical="top" wrapText="1"/>
    </xf>
    <xf fontId="56" fillId="16" borderId="1" numFmtId="0" xfId="0" applyFont="1" applyFill="1" applyBorder="1" applyAlignment="1">
      <alignment horizontal="left" vertical="top" wrapText="1"/>
    </xf>
    <xf fontId="58" fillId="9" borderId="1" numFmtId="0" xfId="0" applyFont="1" applyFill="1" applyBorder="1" applyAlignment="1">
      <alignment vertical="top" wrapText="1"/>
      <protection hidden="0" locked="1"/>
    </xf>
    <xf fontId="59" fillId="9" borderId="1" numFmtId="0" xfId="0" applyFont="1" applyFill="1" applyBorder="1" applyAlignment="1">
      <alignment horizontal="left" vertical="top" wrapText="1"/>
    </xf>
    <xf fontId="59" fillId="9" borderId="1" numFmtId="2" xfId="0" applyNumberFormat="1" applyFont="1" applyFill="1" applyBorder="1" applyAlignment="1">
      <alignment horizontal="left" vertical="top"/>
    </xf>
    <xf fontId="59" fillId="9" borderId="1" numFmtId="0" xfId="0" applyFont="1" applyFill="1" applyBorder="1" applyAlignment="1">
      <alignment horizontal="left" vertical="top"/>
    </xf>
    <xf fontId="0" fillId="7" borderId="1" numFmtId="2" xfId="0" applyNumberFormat="1" applyFill="1" applyBorder="1" applyAlignment="1">
      <alignment horizontal="left" vertical="top" wrapText="1"/>
    </xf>
    <xf fontId="25" fillId="11" borderId="1" numFmtId="0" xfId="0" applyFont="1" applyFill="1" applyBorder="1" applyAlignment="1">
      <alignment horizontal="left" wrapText="1"/>
    </xf>
    <xf fontId="25" fillId="9" borderId="1" numFmtId="1" xfId="0" applyNumberFormat="1" applyFont="1" applyFill="1" applyBorder="1" applyAlignment="1">
      <alignment horizontal="left" vertical="top"/>
    </xf>
    <xf fontId="25" fillId="6" borderId="1" numFmtId="0" xfId="0" applyFont="1" applyFill="1" applyBorder="1" applyAlignment="1">
      <alignment horizontal="left" vertical="top"/>
    </xf>
    <xf fontId="25" fillId="7" borderId="1" numFmtId="2" xfId="0" applyNumberFormat="1" applyFont="1" applyFill="1" applyBorder="1" applyAlignment="1">
      <alignment horizontal="left" vertical="top" wrapText="1"/>
    </xf>
    <xf fontId="12" fillId="0" borderId="0" numFmtId="0" xfId="0" applyFont="1" applyAlignment="1">
      <alignment horizontal="left" vertical="top" wrapText="1"/>
    </xf>
    <xf fontId="25" fillId="9" borderId="1" numFmtId="9" xfId="0" applyNumberFormat="1" applyFont="1" applyFill="1" applyBorder="1" applyAlignment="1">
      <alignment horizontal="left" vertical="top" wrapText="1"/>
      <protection hidden="0" locked="1"/>
    </xf>
    <xf fontId="11" fillId="9" borderId="2" numFmtId="0" xfId="0" applyFont="1" applyFill="1" applyBorder="1" applyAlignment="1">
      <alignment vertical="top" wrapText="1"/>
    </xf>
    <xf fontId="25" fillId="8" borderId="1" numFmtId="2" xfId="0" applyNumberFormat="1" applyFont="1" applyFill="1" applyBorder="1" applyAlignment="1">
      <alignment horizontal="left" vertical="top"/>
    </xf>
    <xf fontId="10" fillId="16" borderId="1" numFmtId="0" xfId="0" applyFont="1" applyFill="1" applyBorder="1" applyAlignment="1">
      <alignment horizontal="left" vertical="top" wrapText="1"/>
    </xf>
    <xf fontId="10" fillId="6" borderId="1" numFmtId="0" xfId="0" applyFont="1" applyFill="1" applyBorder="1" applyAlignment="1">
      <alignment horizontal="left" vertical="top" wrapText="1"/>
    </xf>
    <xf fontId="10" fillId="8" borderId="1" numFmtId="0" xfId="0" applyFont="1" applyFill="1" applyBorder="1" applyAlignment="1">
      <alignment horizontal="left" vertical="top" wrapText="1"/>
    </xf>
    <xf fontId="10" fillId="4" borderId="0" numFmtId="2" xfId="0" applyNumberFormat="1" applyFont="1" applyFill="1" applyAlignment="1">
      <alignment horizontal="left" vertical="top" wrapText="1"/>
    </xf>
    <xf fontId="10" fillId="4" borderId="0" numFmtId="0" xfId="0" applyFont="1" applyFill="1" applyAlignment="1">
      <alignment horizontal="left" vertical="top" wrapText="1"/>
    </xf>
    <xf fontId="25" fillId="8" borderId="1" numFmtId="9" xfId="0" applyNumberFormat="1" applyFont="1" applyFill="1" applyBorder="1" applyAlignment="1">
      <alignment horizontal="left" vertical="top" wrapText="1"/>
      <protection hidden="0" locked="1"/>
    </xf>
    <xf fontId="25" fillId="8" borderId="1" numFmtId="0" xfId="0" applyFont="1" applyFill="1" applyBorder="1" applyAlignment="1">
      <alignment vertical="top" wrapText="1"/>
    </xf>
    <xf fontId="11" fillId="0" borderId="2" numFmtId="0" xfId="0" applyFont="1" applyBorder="1" applyAlignment="1">
      <alignment vertical="top" wrapText="1"/>
    </xf>
    <xf fontId="11" fillId="0" borderId="3" numFmtId="0" xfId="0" applyFont="1" applyBorder="1" applyAlignment="1">
      <alignment vertical="top" wrapText="1"/>
    </xf>
    <xf fontId="41" fillId="0" borderId="0" numFmtId="0" xfId="0" applyFont="1" applyAlignment="1">
      <alignment wrapText="1"/>
    </xf>
    <xf fontId="39" fillId="0" borderId="1" numFmtId="0" xfId="0" applyFont="1" applyBorder="1" applyAlignment="1">
      <alignment horizontal="left" vertical="top" wrapText="1"/>
    </xf>
    <xf fontId="28" fillId="0" borderId="1" numFmtId="0" xfId="0" applyFont="1" applyBorder="1" applyAlignment="1">
      <alignment vertical="top" wrapText="1"/>
    </xf>
    <xf fontId="12" fillId="4" borderId="0" numFmtId="0" xfId="0" applyFont="1" applyFill="1" applyAlignment="1">
      <alignment horizontal="left" vertical="top"/>
    </xf>
    <xf fontId="28" fillId="0" borderId="0" numFmtId="0" xfId="0" applyFont="1" applyAlignment="1">
      <alignment vertical="top" wrapText="1"/>
    </xf>
    <xf fontId="13" fillId="7" borderId="1" numFmtId="9" xfId="0" applyNumberFormat="1" applyFont="1" applyFill="1" applyBorder="1" applyAlignment="1">
      <alignment horizontal="left" vertical="top"/>
    </xf>
    <xf fontId="0" fillId="7" borderId="1" numFmtId="0" xfId="0" applyFill="1" applyBorder="1" applyAlignment="1">
      <alignment horizontal="left" vertical="top" wrapText="1"/>
      <protection hidden="0" locked="1"/>
    </xf>
    <xf fontId="28" fillId="4" borderId="1" numFmtId="0" xfId="0" applyFont="1" applyFill="1" applyBorder="1" applyAlignment="1">
      <alignment horizontal="left" wrapText="1"/>
    </xf>
    <xf fontId="12" fillId="4" borderId="1" numFmtId="0" xfId="0" applyFont="1" applyFill="1" applyBorder="1" applyAlignment="1">
      <alignment horizontal="left" wrapText="1"/>
    </xf>
    <xf fontId="60" fillId="0" borderId="1" numFmtId="0" xfId="0" applyFont="1" applyBorder="1" applyAlignment="1">
      <alignment horizontal="left" vertical="top" wrapText="1"/>
    </xf>
    <xf fontId="0" fillId="16" borderId="1" numFmtId="0" xfId="0" applyFill="1" applyBorder="1" applyAlignment="1">
      <alignment horizontal="left" vertical="top"/>
    </xf>
    <xf fontId="54" fillId="0" borderId="0" numFmtId="0" xfId="0" applyFont="1" applyAlignment="1">
      <alignment horizontal="left" vertical="top" wrapText="1"/>
    </xf>
    <xf fontId="25" fillId="4" borderId="0" numFmtId="0" xfId="0" applyFont="1" applyFill="1" applyAlignment="1">
      <alignment horizontal="left" vertical="top" wrapText="1"/>
    </xf>
    <xf fontId="0" fillId="4" borderId="0" numFmtId="0" xfId="0" applyFill="1" applyAlignment="1">
      <alignment vertical="top"/>
    </xf>
    <xf fontId="32" fillId="5" borderId="1" numFmtId="0" xfId="0" applyFont="1" applyFill="1" applyBorder="1" applyAlignment="1">
      <alignment horizontal="left" vertical="top" wrapText="1"/>
    </xf>
    <xf fontId="40" fillId="5" borderId="1" numFmtId="0" xfId="0" applyFont="1" applyFill="1" applyBorder="1" applyAlignment="1">
      <alignment horizontal="left" vertical="top" wrapText="1"/>
    </xf>
    <xf fontId="11" fillId="4" borderId="10" numFmtId="0" xfId="0" applyFont="1" applyFill="1" applyBorder="1" applyAlignment="1">
      <alignment horizontal="center" vertical="top" wrapText="1"/>
    </xf>
    <xf fontId="11" fillId="4" borderId="11" numFmtId="0" xfId="0" applyFont="1" applyFill="1" applyBorder="1" applyAlignment="1">
      <alignment horizontal="center" vertical="top" wrapText="1"/>
    </xf>
    <xf fontId="11" fillId="4" borderId="5" numFmtId="0" xfId="0" applyFont="1" applyFill="1" applyBorder="1" applyAlignment="1">
      <alignment horizontal="center" vertical="top" wrapText="1"/>
    </xf>
    <xf fontId="11" fillId="4" borderId="4" numFmtId="0" xfId="0" applyFont="1" applyFill="1" applyBorder="1" applyAlignment="1">
      <alignment horizontal="left" vertical="top"/>
    </xf>
    <xf fontId="11" fillId="4" borderId="1" numFmtId="2" xfId="0" applyNumberFormat="1" applyFont="1" applyFill="1" applyBorder="1" applyAlignment="1">
      <alignment horizontal="left" vertical="top" wrapText="1"/>
    </xf>
    <xf fontId="12" fillId="4" borderId="4" numFmtId="0" xfId="0" applyFont="1" applyFill="1" applyBorder="1" applyAlignment="1">
      <alignment vertical="top" wrapText="1"/>
    </xf>
    <xf fontId="0" fillId="4" borderId="0" numFmtId="0" xfId="0" applyFill="1" applyAlignment="1">
      <alignment horizontal="left" vertical="top"/>
    </xf>
    <xf fontId="32" fillId="6" borderId="1" numFmtId="9" xfId="0" applyNumberFormat="1" applyFont="1" applyFill="1" applyBorder="1" applyAlignment="1">
      <alignment horizontal="left" vertical="top"/>
    </xf>
    <xf fontId="25" fillId="4" borderId="1" numFmtId="0" xfId="0" applyFont="1" applyFill="1" applyBorder="1" applyAlignment="1">
      <alignment horizontal="center" vertical="top" wrapText="1"/>
    </xf>
    <xf fontId="11" fillId="9" borderId="1" numFmtId="0" xfId="0" applyFont="1" applyFill="1" applyBorder="1" applyAlignment="1">
      <alignment horizontal="left" vertical="top"/>
    </xf>
    <xf fontId="61" fillId="4" borderId="1" numFmtId="0" xfId="0" applyFont="1" applyFill="1" applyBorder="1" applyAlignment="1">
      <alignment horizontal="left" vertical="top" wrapText="1"/>
    </xf>
    <xf fontId="62" fillId="4" borderId="1" numFmtId="0" xfId="0" applyFont="1" applyFill="1" applyBorder="1" applyAlignment="1">
      <alignment horizontal="left" vertical="top" wrapText="1"/>
    </xf>
    <xf fontId="25" fillId="4" borderId="0" numFmtId="0" xfId="0" applyFont="1" applyFill="1" applyAlignment="1">
      <alignment horizontal="center" vertical="top" wrapText="1"/>
    </xf>
    <xf fontId="62" fillId="4" borderId="0" numFmtId="0" xfId="0" applyFont="1" applyFill="1" applyAlignment="1">
      <alignment horizontal="left" vertical="top" wrapText="1"/>
    </xf>
    <xf fontId="37" fillId="4" borderId="0" numFmtId="0" xfId="0" applyFont="1" applyFill="1" applyAlignment="1">
      <alignment horizontal="left" vertical="top" wrapText="1"/>
    </xf>
    <xf fontId="40" fillId="10" borderId="1" numFmtId="0" xfId="0" applyFont="1" applyFill="1" applyBorder="1" applyAlignment="1">
      <alignment horizontal="left" vertical="top" wrapText="1"/>
      <protection hidden="0" locked="1"/>
    </xf>
    <xf fontId="12" fillId="17" borderId="0" numFmtId="0" xfId="0" applyFont="1" applyFill="1"/>
    <xf fontId="63" fillId="0" borderId="1" numFmtId="0" xfId="0" applyFont="1" applyBorder="1" applyAlignment="1">
      <alignment vertical="top" wrapText="1"/>
    </xf>
    <xf fontId="26" fillId="14" borderId="1" numFmtId="0" xfId="0" applyFont="1" applyFill="1" applyBorder="1" applyAlignment="1">
      <alignment horizontal="center" vertical="top" wrapText="1"/>
    </xf>
    <xf fontId="64" fillId="0" borderId="1" numFmtId="0" xfId="0" applyFont="1" applyBorder="1" applyAlignment="1">
      <alignment horizontal="center" vertical="top" wrapText="1"/>
    </xf>
    <xf fontId="65" fillId="0" borderId="0" numFmtId="0" xfId="0" applyFont="1"/>
    <xf fontId="65" fillId="0" borderId="0" numFmtId="0" xfId="0" applyFont="1" applyAlignment="1">
      <alignment vertical="top"/>
    </xf>
    <xf fontId="65" fillId="0" borderId="0" numFmtId="0" xfId="0" applyFont="1" applyAlignment="1">
      <alignment vertical="top" wrapText="1"/>
    </xf>
    <xf fontId="11" fillId="4" borderId="0" numFmtId="0" xfId="0" applyFont="1" applyFill="1" applyAlignment="1">
      <alignment horizontal="center" vertical="top" wrapText="1"/>
    </xf>
    <xf fontId="11" fillId="4" borderId="0" numFmtId="2" xfId="0" applyNumberFormat="1" applyFont="1" applyFill="1" applyAlignment="1">
      <alignment horizontal="left" vertical="top" wrapText="1"/>
    </xf>
    <xf fontId="0" fillId="10" borderId="1" numFmtId="0" xfId="0" applyFill="1" applyBorder="1" applyAlignment="1">
      <alignment horizontal="left" vertical="top" wrapText="1"/>
      <protection hidden="0" locked="1"/>
    </xf>
    <xf fontId="25" fillId="4" borderId="10" numFmtId="0" xfId="0" applyFont="1" applyFill="1" applyBorder="1" applyAlignment="1">
      <alignment horizontal="center" vertical="top" wrapText="1"/>
    </xf>
    <xf fontId="25" fillId="4" borderId="11" numFmtId="0" xfId="0" applyFont="1" applyFill="1" applyBorder="1" applyAlignment="1">
      <alignment horizontal="center" vertical="top" wrapText="1"/>
    </xf>
    <xf fontId="26" fillId="0" borderId="1" numFmtId="0" xfId="0" applyFont="1" applyBorder="1" applyAlignment="1">
      <alignment horizontal="left" vertical="top" wrapText="1"/>
    </xf>
    <xf fontId="12" fillId="0" borderId="1" numFmtId="0" xfId="0" applyFont="1" applyBorder="1" applyAlignment="1">
      <alignment horizontal="left"/>
    </xf>
    <xf fontId="12" fillId="0" borderId="1" numFmtId="0" xfId="0" applyFont="1" applyBorder="1" applyAlignment="1">
      <alignment wrapText="1"/>
    </xf>
    <xf fontId="12" fillId="0" borderId="1" numFmtId="0" xfId="0" applyFont="1" applyBorder="1"/>
    <xf fontId="25" fillId="4" borderId="5" numFmtId="0" xfId="0" applyFont="1" applyFill="1" applyBorder="1" applyAlignment="1">
      <alignment horizontal="center" vertical="top" wrapText="1"/>
    </xf>
    <xf fontId="12" fillId="0" borderId="0" numFmtId="2" xfId="0" applyNumberFormat="1" applyFont="1"/>
    <xf fontId="0" fillId="0" borderId="0" numFmtId="0" xfId="0" applyAlignment="1">
      <alignment horizontal="center" vertical="top"/>
    </xf>
    <xf fontId="0" fillId="0" borderId="0" numFmtId="0" xfId="0" applyAlignment="1">
      <alignment horizontal="center" vertical="top" wrapText="1"/>
    </xf>
    <xf fontId="0" fillId="17" borderId="0" numFmtId="0" xfId="0" applyFill="1" applyAlignment="1">
      <alignment horizontal="center" vertical="top"/>
    </xf>
    <xf fontId="0" fillId="17" borderId="0" numFmtId="0" xfId="0" applyFill="1" applyAlignment="1">
      <alignment horizontal="center" vertical="top" wrapText="1"/>
    </xf>
    <xf fontId="0" fillId="17" borderId="0" numFmtId="0" xfId="0" applyFill="1" applyAlignment="1">
      <alignment wrapText="1"/>
    </xf>
    <xf fontId="30" fillId="11" borderId="1" numFmtId="0" xfId="0" applyFont="1" applyFill="1" applyBorder="1" applyAlignment="1">
      <alignment horizontal="left" vertical="top" wrapText="1"/>
    </xf>
    <xf fontId="40" fillId="11" borderId="2" numFmtId="0" xfId="0" applyFont="1" applyFill="1" applyBorder="1" applyAlignment="1">
      <alignment horizontal="left" vertical="top" wrapText="1"/>
    </xf>
    <xf fontId="40" fillId="11" borderId="3" numFmtId="0" xfId="0" applyFont="1" applyFill="1" applyBorder="1" applyAlignment="1">
      <alignment horizontal="left" vertical="top" wrapText="1"/>
    </xf>
    <xf fontId="12" fillId="0" borderId="14" numFmtId="0" xfId="0" applyFont="1" applyBorder="1" applyAlignment="1">
      <alignment horizontal="center" vertical="top" wrapText="1"/>
    </xf>
    <xf fontId="12" fillId="0" borderId="15" numFmtId="0" xfId="0" applyFont="1" applyBorder="1" applyAlignment="1">
      <alignment horizontal="center" vertical="top" wrapText="1"/>
    </xf>
    <xf fontId="40" fillId="9" borderId="1" numFmtId="0" xfId="0" applyFont="1" applyFill="1" applyBorder="1" applyAlignment="1">
      <alignment horizontal="left" vertical="top"/>
    </xf>
    <xf fontId="12" fillId="0" borderId="9" numFmtId="0" xfId="0" applyFont="1" applyBorder="1" applyAlignment="1">
      <alignment horizontal="center" vertical="top" wrapText="1"/>
    </xf>
    <xf fontId="12" fillId="0" borderId="0" numFmtId="0" xfId="0" applyFont="1" applyAlignment="1">
      <alignment horizontal="center" vertical="top" wrapText="1"/>
    </xf>
    <xf fontId="40" fillId="16" borderId="1" numFmtId="0" xfId="0" applyFont="1" applyFill="1" applyBorder="1" applyAlignment="1">
      <alignment horizontal="left" vertical="top"/>
    </xf>
    <xf fontId="12" fillId="0" borderId="7" numFmtId="0" xfId="0" applyFont="1" applyBorder="1" applyAlignment="1">
      <alignment horizontal="center" vertical="top" wrapText="1"/>
    </xf>
    <xf fontId="12" fillId="0" borderId="12" numFmtId="0" xfId="0" applyFont="1" applyBorder="1" applyAlignment="1">
      <alignment horizontal="center" vertical="top" wrapText="1"/>
    </xf>
    <xf fontId="0" fillId="0" borderId="0" numFmtId="0" xfId="0" applyAlignment="1">
      <alignment horizontal="left" vertical="top" wrapText="1"/>
    </xf>
    <xf fontId="10" fillId="7" borderId="1" numFmtId="0" xfId="0" applyFont="1" applyFill="1" applyBorder="1" applyAlignment="1">
      <alignment horizontal="left" vertical="top" wrapText="1"/>
      <protection hidden="0" locked="1"/>
    </xf>
    <xf fontId="40" fillId="0" borderId="1" numFmtId="0" xfId="0" applyFont="1" applyBorder="1" applyAlignment="1">
      <alignment horizontal="center" vertical="top" wrapText="1"/>
    </xf>
    <xf fontId="40" fillId="4" borderId="1" numFmtId="0" xfId="0" applyFont="1" applyFill="1" applyBorder="1" applyAlignment="1">
      <alignment horizontal="left" vertical="top"/>
    </xf>
    <xf fontId="0" fillId="0" borderId="1" numFmtId="0" xfId="0" applyBorder="1" applyAlignment="1">
      <alignment horizontal="center" vertical="top" wrapText="1"/>
    </xf>
    <xf fontId="0" fillId="0" borderId="0" numFmtId="2" xfId="0" applyNumberFormat="1" applyAlignment="1">
      <alignment horizontal="center" vertical="top"/>
    </xf>
    <xf fontId="0" fillId="0" borderId="12" numFmtId="0" xfId="0" applyBorder="1" applyAlignment="1">
      <alignment horizontal="left" vertical="top"/>
    </xf>
    <xf fontId="0" fillId="0" borderId="12" numFmtId="0" xfId="0" applyBorder="1" applyAlignment="1">
      <alignment horizontal="left" vertical="top" wrapText="1"/>
    </xf>
    <xf fontId="10" fillId="6" borderId="1" numFmtId="0" xfId="0" applyFont="1" applyFill="1" applyBorder="1" applyAlignment="1">
      <alignment horizontal="left" vertical="top" wrapText="1"/>
      <protection hidden="0" locked="1"/>
    </xf>
    <xf fontId="25" fillId="11" borderId="1" numFmtId="0" xfId="0" applyFont="1" applyFill="1" applyBorder="1" applyAlignment="1">
      <alignment horizontal="left"/>
    </xf>
    <xf fontId="61" fillId="4" borderId="1" numFmtId="0" xfId="0" applyFont="1" applyFill="1" applyBorder="1" applyAlignment="1">
      <alignment vertical="top" wrapText="1"/>
    </xf>
    <xf fontId="25" fillId="0" borderId="0" numFmtId="0" xfId="0" applyFont="1" applyAlignment="1">
      <alignment horizontal="left" vertical="top" wrapText="1"/>
    </xf>
    <xf fontId="11" fillId="4" borderId="0" numFmtId="2" xfId="0" applyNumberFormat="1" applyFont="1" applyFill="1" applyAlignment="1">
      <alignment horizontal="left" vertical="top"/>
    </xf>
    <xf fontId="12" fillId="0" borderId="0" numFmtId="0" xfId="0" applyFont="1" applyAlignment="1">
      <alignment vertical="top" wrapText="1"/>
    </xf>
    <xf fontId="25" fillId="8" borderId="1" numFmtId="0" xfId="0" applyFont="1" applyFill="1" applyBorder="1" applyAlignment="1">
      <alignment horizontal="left" vertical="top" wrapText="1"/>
      <protection hidden="0" locked="1"/>
    </xf>
    <xf fontId="35" fillId="0" borderId="1" numFmtId="0" xfId="0" applyFont="1" applyBorder="1" applyAlignment="1">
      <alignment horizontal="left" vertical="top" wrapText="1"/>
    </xf>
    <xf fontId="0" fillId="4" borderId="1" numFmtId="2" xfId="0" applyNumberFormat="1" applyFill="1" applyBorder="1"/>
    <xf fontId="25" fillId="6" borderId="1" numFmtId="0" xfId="0" applyFont="1" applyFill="1" applyBorder="1" applyAlignment="1">
      <alignment horizontal="left" vertical="top" wrapText="1"/>
      <protection hidden="0" locked="1"/>
    </xf>
    <xf fontId="25" fillId="17" borderId="0" numFmtId="0" xfId="0" applyFont="1" applyFill="1"/>
    <xf fontId="10" fillId="17" borderId="0" numFmtId="0" xfId="0" applyFont="1" applyFill="1"/>
    <xf fontId="11" fillId="4" borderId="0" numFmtId="0" xfId="0" applyFont="1" applyFill="1" applyAlignment="1">
      <alignment horizontal="left"/>
    </xf>
    <xf fontId="32" fillId="4" borderId="1" numFmtId="9" xfId="0" applyNumberFormat="1" applyFont="1" applyFill="1" applyBorder="1" applyAlignment="1">
      <alignment horizontal="left" vertical="top"/>
    </xf>
    <xf fontId="25" fillId="4" borderId="1" numFmtId="0" xfId="0" applyFont="1" applyFill="1" applyBorder="1" applyAlignment="1">
      <alignment horizontal="left" vertical="top" wrapText="1"/>
      <protection hidden="0" locked="1"/>
    </xf>
    <xf fontId="11" fillId="0" borderId="1" numFmtId="0" xfId="0" applyFont="1" applyBorder="1" applyAlignment="1">
      <alignment horizontal="left"/>
    </xf>
    <xf fontId="5" fillId="0" borderId="1" numFmtId="0" xfId="0" applyFont="1" applyBorder="1" applyAlignment="1">
      <alignment horizontal="left" vertical="center" wrapText="1"/>
    </xf>
    <xf fontId="0" fillId="0" borderId="1" numFmtId="0" xfId="0" applyBorder="1" applyAlignment="1">
      <alignment horizontal="left"/>
      <protection hidden="0" locked="1"/>
    </xf>
    <xf fontId="0" fillId="0" borderId="1" numFmtId="0" xfId="0" applyBorder="1" applyAlignment="1">
      <alignment wrapText="1"/>
      <protection hidden="0" locked="1"/>
    </xf>
    <xf fontId="10" fillId="8" borderId="1" numFmtId="2" xfId="0" applyNumberFormat="1" applyFont="1" applyFill="1" applyBorder="1" applyAlignment="1">
      <alignment horizontal="left" vertical="top"/>
      <protection hidden="0" locked="1"/>
    </xf>
    <xf fontId="10" fillId="8" borderId="1" numFmtId="0" xfId="0" applyFont="1" applyFill="1" applyBorder="1" applyAlignment="1">
      <alignment horizontal="left" vertical="top"/>
      <protection hidden="0" locked="1"/>
    </xf>
    <xf fontId="10" fillId="9" borderId="1" numFmtId="1" xfId="0" applyNumberFormat="1" applyFont="1" applyFill="1" applyBorder="1" applyAlignment="1">
      <alignment horizontal="left" vertical="top"/>
      <protection hidden="0" locked="1"/>
    </xf>
    <xf fontId="0" fillId="0" borderId="1" numFmtId="0" xfId="0" applyBorder="1" applyAlignment="1">
      <alignment horizontal="left" vertical="top"/>
      <protection hidden="0" locked="1"/>
    </xf>
    <xf fontId="0" fillId="10" borderId="1" numFmtId="0" xfId="0" applyFill="1" applyBorder="1" applyAlignment="1">
      <alignment horizontal="left" vertical="top"/>
      <protection hidden="0" locked="1"/>
    </xf>
    <xf fontId="0" fillId="0" borderId="1" numFmtId="0" xfId="0" applyBorder="1">
      <protection hidden="0" locked="1"/>
    </xf>
    <xf fontId="0" fillId="0" borderId="0" numFmtId="2" xfId="0" applyNumberFormat="1">
      <protection hidden="0" locked="1"/>
    </xf>
    <xf fontId="30" fillId="11" borderId="1" numFmtId="0" xfId="0" applyFont="1" applyFill="1" applyBorder="1" applyAlignment="1">
      <alignment vertical="top" wrapText="1"/>
    </xf>
    <xf fontId="40" fillId="0" borderId="14" numFmtId="0" xfId="0" applyFont="1" applyBorder="1" applyAlignment="1">
      <alignment horizontal="left" vertical="top" wrapText="1"/>
    </xf>
    <xf fontId="40" fillId="0" borderId="9" numFmtId="0" xfId="0" applyFont="1" applyBorder="1" applyAlignment="1">
      <alignment horizontal="left" vertical="top" wrapText="1"/>
    </xf>
    <xf fontId="40" fillId="0" borderId="7" numFmtId="0" xfId="0" applyFont="1" applyBorder="1" applyAlignment="1">
      <alignment horizontal="left" vertical="top" wrapText="1"/>
    </xf>
    <xf fontId="35" fillId="4" borderId="4" numFmtId="0" xfId="0" applyFont="1" applyFill="1" applyBorder="1" applyAlignment="1">
      <alignment horizontal="left" vertical="top" wrapText="1"/>
    </xf>
    <xf fontId="14" fillId="4" borderId="3" numFmtId="0" xfId="0" applyFont="1" applyFill="1" applyBorder="1" applyAlignment="1">
      <alignment horizontal="left" vertical="top" wrapText="1"/>
    </xf>
    <xf fontId="32" fillId="10" borderId="1" numFmtId="9" xfId="0" applyNumberFormat="1" applyFont="1" applyFill="1" applyBorder="1" applyAlignment="1">
      <alignment horizontal="center" vertical="top"/>
    </xf>
    <xf fontId="32" fillId="10" borderId="1" numFmtId="9" xfId="0" applyNumberFormat="1" applyFont="1" applyFill="1" applyBorder="1" applyAlignment="1">
      <alignment horizontal="center" vertical="top" wrapText="1"/>
    </xf>
    <xf fontId="0" fillId="16" borderId="1" numFmtId="0" xfId="0" applyFill="1" applyBorder="1" applyAlignment="1">
      <alignment horizontal="left"/>
    </xf>
    <xf fontId="0" fillId="0" borderId="12" numFmtId="0" xfId="0" applyBorder="1">
      <protection hidden="0" locked="1"/>
    </xf>
    <xf fontId="32" fillId="7" borderId="1" numFmtId="9" xfId="0" applyNumberFormat="1" applyFont="1" applyFill="1" applyBorder="1" applyAlignment="1">
      <alignment horizontal="center" vertical="top"/>
    </xf>
    <xf fontId="32" fillId="7" borderId="1" numFmtId="9" xfId="0" applyNumberFormat="1" applyFont="1" applyFill="1" applyBorder="1" applyAlignment="1">
      <alignment horizontal="center" vertical="top" wrapText="1"/>
    </xf>
  </cellXfs>
  <cellStyles count="3">
    <cellStyle name="Normal" xfId="0" builtinId="0"/>
    <cellStyle name="Neutral" xfId="1" builtinId="28"/>
    <cellStyle name="Good"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29" Type="http://schemas.openxmlformats.org/officeDocument/2006/relationships/styles" Target="styles.xml"/><Relationship  Id="rId28" Type="http://schemas.openxmlformats.org/officeDocument/2006/relationships/sharedStrings" Target="sharedStrings.xml"/><Relationship  Id="rId27"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5" Type="http://schemas.openxmlformats.org/officeDocument/2006/relationships/worksheet" Target="worksheets/sheet25.xml"/><Relationship  Id="rId21" Type="http://schemas.openxmlformats.org/officeDocument/2006/relationships/worksheet" Target="worksheets/sheet21.xml"/><Relationship  Id="rId13" Type="http://schemas.openxmlformats.org/officeDocument/2006/relationships/worksheet" Target="worksheets/sheet13.xml"/><Relationship  Id="rId24" Type="http://schemas.openxmlformats.org/officeDocument/2006/relationships/worksheet" Target="worksheets/sheet24.xml"/><Relationship  Id="rId11" Type="http://schemas.openxmlformats.org/officeDocument/2006/relationships/worksheet" Target="worksheets/sheet11.xml"/><Relationship  Id="rId18" Type="http://schemas.openxmlformats.org/officeDocument/2006/relationships/worksheet" Target="worksheets/sheet18.xml"/><Relationship  Id="rId17" Type="http://schemas.openxmlformats.org/officeDocument/2006/relationships/worksheet" Target="worksheets/sheet17.xml"/><Relationship  Id="rId10" Type="http://schemas.openxmlformats.org/officeDocument/2006/relationships/worksheet" Target="worksheets/sheet10.xml"/><Relationship  Id="rId26" Type="http://schemas.openxmlformats.org/officeDocument/2006/relationships/worksheet" Target="worksheets/sheet26.xml"/><Relationship  Id="rId15" Type="http://schemas.openxmlformats.org/officeDocument/2006/relationships/worksheet" Target="worksheets/sheet15.xml"/><Relationship  Id="rId9" Type="http://schemas.openxmlformats.org/officeDocument/2006/relationships/worksheet" Target="worksheets/sheet9.xml"/><Relationship  Id="rId20" Type="http://schemas.openxmlformats.org/officeDocument/2006/relationships/worksheet" Target="worksheets/sheet20.xml"/><Relationship  Id="rId19" Type="http://schemas.openxmlformats.org/officeDocument/2006/relationships/worksheet" Target="worksheets/sheet19.xml"/><Relationship  Id="rId8" Type="http://schemas.openxmlformats.org/officeDocument/2006/relationships/worksheet" Target="worksheets/sheet8.xml"/><Relationship  Id="rId7" Type="http://schemas.openxmlformats.org/officeDocument/2006/relationships/worksheet" Target="worksheets/sheet7.xml"/><Relationship  Id="rId14" Type="http://schemas.openxmlformats.org/officeDocument/2006/relationships/worksheet" Target="worksheets/sheet14.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16" Type="http://schemas.openxmlformats.org/officeDocument/2006/relationships/worksheet" Target="worksheets/sheet16.xml"/><Relationship  Id="rId12" Type="http://schemas.openxmlformats.org/officeDocument/2006/relationships/worksheet" Target="worksheets/sheet12.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alm.headoffice.psbank.local/sd/operator/#uuid:GMtask$12748429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5.8515625"/>
    <col customWidth="1" min="2" max="2" width="39.28125"/>
    <col customWidth="1" min="3" max="3" width="23.421875"/>
    <col customWidth="1" min="4" max="4" width="13.00390625"/>
    <col customWidth="1" min="5" max="5" width="16.57421875"/>
    <col customWidth="1" min="6" max="6" width="11.421875"/>
    <col customWidth="1" min="7" max="7" width="19.421875"/>
    <col customWidth="1" min="8" max="8" width="24.421875"/>
  </cols>
  <sheetData>
    <row r="1" ht="25.5" customHeight="1">
      <c r="A1" s="1" t="s">
        <v>0</v>
      </c>
      <c r="B1" s="1"/>
      <c r="C1" s="1"/>
      <c r="D1" s="1"/>
      <c r="E1" s="1"/>
      <c r="F1" s="1"/>
      <c r="G1" s="2"/>
    </row>
    <row r="2" s="3" customFormat="1" ht="18">
      <c r="A2" s="4" t="s">
        <v>1</v>
      </c>
      <c r="B2" s="4"/>
      <c r="C2" s="4"/>
      <c r="D2" s="4"/>
      <c r="E2" s="4"/>
      <c r="F2" s="4"/>
      <c r="G2" s="4"/>
    </row>
    <row r="3" ht="14.25">
      <c r="A3" s="5"/>
      <c r="B3" s="6" t="s">
        <v>2</v>
      </c>
      <c r="C3" s="6"/>
      <c r="D3" s="6"/>
      <c r="E3" s="6"/>
      <c r="F3" s="5"/>
      <c r="G3" s="5"/>
    </row>
    <row r="4" ht="14.25">
      <c r="A4" s="7" t="s">
        <v>3</v>
      </c>
      <c r="B4" s="6"/>
      <c r="C4" s="6"/>
      <c r="D4" s="6"/>
      <c r="E4" s="6"/>
      <c r="F4" s="5"/>
      <c r="G4" s="5"/>
    </row>
    <row r="5" ht="14.25">
      <c r="A5" s="8" t="s">
        <v>4</v>
      </c>
      <c r="B5" s="6"/>
      <c r="C5" s="6"/>
      <c r="D5" s="6"/>
      <c r="E5" s="6"/>
      <c r="F5" s="5"/>
      <c r="G5" s="5"/>
    </row>
    <row r="6" ht="14.25">
      <c r="A6" s="8"/>
      <c r="B6" s="6"/>
      <c r="C6" s="6"/>
      <c r="D6" s="6"/>
      <c r="E6" s="6"/>
      <c r="F6" s="5"/>
      <c r="G6" s="5"/>
    </row>
    <row r="7" ht="75">
      <c r="A7" s="9" t="s">
        <v>5</v>
      </c>
      <c r="B7" s="9" t="s">
        <v>6</v>
      </c>
      <c r="C7" s="9" t="s">
        <v>7</v>
      </c>
      <c r="D7" s="9" t="s">
        <v>8</v>
      </c>
      <c r="E7" s="9"/>
      <c r="F7" s="10" t="s">
        <v>9</v>
      </c>
      <c r="G7" s="10" t="s">
        <v>10</v>
      </c>
      <c r="H7" s="11" t="s">
        <v>11</v>
      </c>
      <c r="I7" s="12"/>
      <c r="J7" s="12"/>
      <c r="K7" s="12"/>
      <c r="L7" s="12"/>
      <c r="M7" s="12"/>
      <c r="N7" s="12"/>
      <c r="O7" s="12"/>
    </row>
    <row r="8" ht="30">
      <c r="A8" s="13">
        <v>1</v>
      </c>
      <c r="B8" s="14" t="s">
        <v>12</v>
      </c>
      <c r="C8" s="15">
        <v>0.25</v>
      </c>
      <c r="D8" s="16" t="s">
        <v>13</v>
      </c>
      <c r="E8" s="17"/>
      <c r="F8" s="18" t="s">
        <v>14</v>
      </c>
      <c r="G8" s="19" t="s">
        <v>15</v>
      </c>
      <c r="H8" s="20" t="s">
        <v>16</v>
      </c>
      <c r="I8" s="12"/>
      <c r="J8" s="12"/>
      <c r="K8" s="12"/>
      <c r="L8" s="12"/>
      <c r="M8" s="12"/>
      <c r="N8" s="12"/>
      <c r="O8" s="12"/>
    </row>
    <row r="9" ht="30">
      <c r="A9" s="13">
        <v>2</v>
      </c>
      <c r="B9" s="21" t="s">
        <v>17</v>
      </c>
      <c r="C9" s="15">
        <v>0.29999999999999999</v>
      </c>
      <c r="D9" s="16" t="s">
        <v>13</v>
      </c>
      <c r="E9" s="17"/>
      <c r="F9" s="18" t="s">
        <v>14</v>
      </c>
      <c r="G9" s="19" t="s">
        <v>15</v>
      </c>
      <c r="H9" s="22" t="s">
        <v>18</v>
      </c>
      <c r="I9" s="12"/>
      <c r="J9" s="12"/>
      <c r="K9" s="12"/>
      <c r="L9" s="12"/>
      <c r="M9" s="12"/>
      <c r="N9" s="12"/>
      <c r="O9" s="12"/>
    </row>
    <row r="10" ht="57">
      <c r="A10" s="13">
        <v>3</v>
      </c>
      <c r="B10" s="23" t="s">
        <v>19</v>
      </c>
      <c r="C10" s="15">
        <v>0.31</v>
      </c>
      <c r="D10" s="16" t="s">
        <v>13</v>
      </c>
      <c r="E10" s="17"/>
      <c r="F10" s="18" t="s">
        <v>14</v>
      </c>
      <c r="G10" s="19" t="s">
        <v>15</v>
      </c>
      <c r="H10" s="22" t="s">
        <v>18</v>
      </c>
      <c r="I10" s="12"/>
      <c r="J10" s="12"/>
      <c r="K10" s="12"/>
      <c r="L10" s="12"/>
      <c r="M10" s="12"/>
      <c r="N10" s="12"/>
      <c r="O10" s="12"/>
    </row>
    <row r="11" ht="30">
      <c r="A11" s="13">
        <v>4</v>
      </c>
      <c r="B11" s="24" t="s">
        <v>20</v>
      </c>
      <c r="C11" s="25">
        <v>0.33000000000000002</v>
      </c>
      <c r="D11" s="16" t="s">
        <v>13</v>
      </c>
      <c r="E11" s="17"/>
      <c r="F11" s="18" t="s">
        <v>14</v>
      </c>
      <c r="G11" s="19" t="s">
        <v>15</v>
      </c>
      <c r="H11" s="26" t="s">
        <v>21</v>
      </c>
      <c r="I11" s="12"/>
      <c r="J11" s="12"/>
      <c r="K11" s="12"/>
      <c r="L11" s="12"/>
      <c r="M11" s="12"/>
      <c r="N11" s="12"/>
      <c r="O11" s="12"/>
    </row>
    <row r="12" ht="30">
      <c r="A12" s="13">
        <v>5</v>
      </c>
      <c r="B12" s="23" t="s">
        <v>22</v>
      </c>
      <c r="C12" s="25">
        <v>0.33000000000000002</v>
      </c>
      <c r="D12" s="16" t="s">
        <v>13</v>
      </c>
      <c r="E12" s="17"/>
      <c r="F12" s="18" t="s">
        <v>14</v>
      </c>
      <c r="G12" s="19" t="s">
        <v>15</v>
      </c>
      <c r="H12" s="22" t="s">
        <v>18</v>
      </c>
      <c r="I12" s="12"/>
      <c r="J12" s="12"/>
      <c r="K12" s="12"/>
      <c r="L12" s="12"/>
      <c r="M12" s="12"/>
      <c r="N12" s="12"/>
      <c r="O12" s="12"/>
    </row>
    <row r="13" ht="30">
      <c r="A13" s="13">
        <v>6</v>
      </c>
      <c r="B13" s="27" t="s">
        <v>23</v>
      </c>
      <c r="C13" s="28">
        <v>0.40999999999999998</v>
      </c>
      <c r="D13" s="29" t="s">
        <v>24</v>
      </c>
      <c r="E13" s="30"/>
      <c r="F13" s="18" t="s">
        <v>14</v>
      </c>
      <c r="G13" s="19" t="s">
        <v>15</v>
      </c>
      <c r="H13" s="22" t="s">
        <v>25</v>
      </c>
      <c r="I13" s="12"/>
      <c r="J13" s="12"/>
      <c r="K13" s="12"/>
      <c r="L13" s="12"/>
      <c r="M13" s="12"/>
      <c r="N13" s="12"/>
      <c r="O13" s="12"/>
    </row>
    <row r="14" ht="30">
      <c r="A14" s="13">
        <v>7</v>
      </c>
      <c r="B14" s="31" t="s">
        <v>26</v>
      </c>
      <c r="C14" s="32">
        <v>0.80000000000000004</v>
      </c>
      <c r="D14" s="33" t="s">
        <v>27</v>
      </c>
      <c r="E14" s="34"/>
      <c r="F14" s="18" t="s">
        <v>14</v>
      </c>
      <c r="G14" s="19" t="s">
        <v>15</v>
      </c>
      <c r="H14" s="35" t="s">
        <v>28</v>
      </c>
      <c r="I14" s="12"/>
      <c r="J14" s="12"/>
      <c r="K14" s="12"/>
      <c r="L14" s="12"/>
      <c r="M14" s="12"/>
      <c r="N14" s="12"/>
      <c r="O14" s="12"/>
    </row>
    <row r="15" ht="30">
      <c r="A15" s="13">
        <v>8</v>
      </c>
      <c r="B15" s="36" t="s">
        <v>29</v>
      </c>
      <c r="C15" s="37">
        <v>0.90000000000000002</v>
      </c>
      <c r="D15" s="38" t="s">
        <v>30</v>
      </c>
      <c r="E15" s="39"/>
      <c r="F15" s="40" t="s">
        <v>14</v>
      </c>
      <c r="G15" s="19" t="s">
        <v>15</v>
      </c>
      <c r="H15" s="35" t="s">
        <v>31</v>
      </c>
      <c r="I15" s="12"/>
      <c r="J15" s="12"/>
      <c r="K15" s="12"/>
      <c r="L15" s="12"/>
      <c r="M15" s="12"/>
      <c r="N15" s="12"/>
      <c r="O15" s="12"/>
    </row>
    <row r="16" ht="60">
      <c r="A16" s="13">
        <v>9</v>
      </c>
      <c r="B16" s="41" t="s">
        <v>32</v>
      </c>
      <c r="C16" s="37">
        <v>0.94999999999999996</v>
      </c>
      <c r="D16" s="42" t="s">
        <v>30</v>
      </c>
      <c r="E16" s="43"/>
      <c r="F16" s="44" t="s">
        <v>33</v>
      </c>
      <c r="G16" s="19" t="s">
        <v>15</v>
      </c>
      <c r="H16" s="45" t="s">
        <v>34</v>
      </c>
    </row>
    <row r="17" s="46" customFormat="1" ht="17.25">
      <c r="A17" s="47"/>
      <c r="B17" s="48" t="s">
        <v>35</v>
      </c>
      <c r="C17" s="49">
        <f>(C8+C9+C10+C11+C12+C13+C14+C15+C16)/9</f>
        <v>0.50888888888888895</v>
      </c>
      <c r="D17" s="50" t="s">
        <v>24</v>
      </c>
      <c r="E17" s="50"/>
      <c r="F17" s="50"/>
      <c r="G17" s="50"/>
      <c r="H17" s="50"/>
      <c r="I17" s="51"/>
      <c r="J17" s="51"/>
      <c r="K17" s="51"/>
      <c r="L17" s="51"/>
      <c r="M17" s="51"/>
      <c r="N17" s="51"/>
      <c r="O17" s="51"/>
      <c r="P17" s="46"/>
    </row>
    <row r="18" s="46" customFormat="1" ht="17.25">
      <c r="A18" s="52"/>
      <c r="B18" s="53"/>
      <c r="C18" s="54"/>
      <c r="D18" s="55"/>
      <c r="E18" s="56"/>
      <c r="F18" s="57"/>
      <c r="G18" s="57"/>
      <c r="H18" s="55"/>
      <c r="I18" s="51"/>
      <c r="J18" s="51"/>
      <c r="K18" s="51"/>
      <c r="L18" s="51"/>
      <c r="M18" s="51"/>
      <c r="N18" s="51"/>
      <c r="O18" s="51"/>
      <c r="P18" s="46"/>
    </row>
    <row r="19" s="46" customFormat="1" ht="17.25">
      <c r="A19" s="58" t="s">
        <v>36</v>
      </c>
      <c r="B19" s="59"/>
      <c r="C19" s="59"/>
      <c r="D19" s="59"/>
      <c r="E19" s="59"/>
      <c r="F19" s="59"/>
      <c r="G19" s="59"/>
      <c r="H19" s="60"/>
      <c r="I19" s="51"/>
      <c r="J19" s="51"/>
      <c r="K19" s="51"/>
      <c r="L19" s="51"/>
      <c r="M19" s="51"/>
      <c r="N19" s="51"/>
      <c r="O19" s="51"/>
      <c r="P19" s="46"/>
    </row>
    <row r="20" s="46" customFormat="1" ht="26.25" customHeight="1">
      <c r="A20" s="61"/>
      <c r="B20" s="62" t="s">
        <v>37</v>
      </c>
      <c r="C20" s="63" t="s">
        <v>38</v>
      </c>
      <c r="D20" s="64"/>
      <c r="E20" s="65" t="s">
        <v>39</v>
      </c>
      <c r="F20" s="66"/>
      <c r="G20" s="66"/>
      <c r="H20" s="67"/>
      <c r="I20" s="51"/>
      <c r="J20" s="51"/>
      <c r="K20" s="51"/>
      <c r="L20" s="51"/>
      <c r="M20" s="51"/>
      <c r="N20" s="51"/>
      <c r="O20" s="51"/>
      <c r="P20" s="46"/>
    </row>
    <row r="21" s="46" customFormat="1" ht="72.75" customHeight="1">
      <c r="A21" s="68">
        <v>1</v>
      </c>
      <c r="B21" s="69" t="s">
        <v>40</v>
      </c>
      <c r="C21" s="70">
        <v>0.42999999999999999</v>
      </c>
      <c r="D21" s="71" t="s">
        <v>24</v>
      </c>
      <c r="E21" s="72" t="s">
        <v>41</v>
      </c>
      <c r="F21" s="73"/>
      <c r="G21" s="73"/>
      <c r="H21" s="74"/>
      <c r="I21" s="51"/>
      <c r="J21" s="51"/>
      <c r="K21" s="51"/>
      <c r="L21" s="51"/>
      <c r="M21" s="51"/>
      <c r="N21" s="51"/>
      <c r="O21" s="51"/>
      <c r="P21" s="46"/>
    </row>
    <row r="22" s="46" customFormat="1" ht="56.25" customHeight="1">
      <c r="A22" s="68">
        <v>2</v>
      </c>
      <c r="B22" s="69" t="s">
        <v>42</v>
      </c>
      <c r="C22" s="75">
        <v>0.44</v>
      </c>
      <c r="D22" s="71" t="s">
        <v>24</v>
      </c>
      <c r="E22" s="72" t="s">
        <v>43</v>
      </c>
      <c r="F22" s="73"/>
      <c r="G22" s="73"/>
      <c r="H22" s="74"/>
      <c r="I22" s="51"/>
      <c r="J22" s="51"/>
      <c r="K22" s="51"/>
      <c r="L22" s="51"/>
      <c r="M22" s="51"/>
      <c r="N22" s="51"/>
      <c r="O22" s="51"/>
      <c r="P22" s="46"/>
    </row>
    <row r="23" s="46" customFormat="1" ht="69" customHeight="1">
      <c r="A23" s="68">
        <v>3</v>
      </c>
      <c r="B23" s="69" t="s">
        <v>44</v>
      </c>
      <c r="C23" s="76">
        <v>0.65000000000000002</v>
      </c>
      <c r="D23" s="77" t="s">
        <v>45</v>
      </c>
      <c r="E23" s="78" t="s">
        <v>46</v>
      </c>
      <c r="F23" s="79"/>
      <c r="G23" s="79"/>
      <c r="H23" s="80"/>
      <c r="I23" s="51"/>
      <c r="J23" s="51"/>
      <c r="K23" s="51"/>
      <c r="L23" s="51"/>
      <c r="M23" s="51"/>
      <c r="N23" s="51"/>
      <c r="O23" s="51"/>
      <c r="P23" s="46"/>
    </row>
    <row r="24" s="46" customFormat="1" ht="30">
      <c r="A24" s="68">
        <v>4</v>
      </c>
      <c r="B24" s="69" t="s">
        <v>47</v>
      </c>
      <c r="C24" s="81">
        <v>0.46999999999999997</v>
      </c>
      <c r="D24" s="71" t="s">
        <v>24</v>
      </c>
      <c r="E24" s="72" t="s">
        <v>48</v>
      </c>
      <c r="F24" s="73"/>
      <c r="G24" s="73"/>
      <c r="H24" s="74"/>
      <c r="I24" s="51"/>
      <c r="J24" s="51"/>
      <c r="K24" s="51"/>
      <c r="L24" s="51"/>
      <c r="M24" s="51"/>
      <c r="N24" s="51"/>
      <c r="O24" s="51"/>
      <c r="P24" s="46"/>
    </row>
    <row r="25" s="46" customFormat="1" ht="58.5" customHeight="1">
      <c r="A25" s="68">
        <v>5</v>
      </c>
      <c r="B25" s="82" t="s">
        <v>49</v>
      </c>
      <c r="C25" s="83">
        <v>0.45000000000000001</v>
      </c>
      <c r="D25" s="84" t="s">
        <v>24</v>
      </c>
      <c r="E25" s="85" t="s">
        <v>50</v>
      </c>
      <c r="F25" s="86"/>
      <c r="G25" s="86"/>
      <c r="H25" s="87"/>
      <c r="I25" s="51"/>
      <c r="J25" s="51"/>
      <c r="K25" s="51"/>
      <c r="L25" s="51"/>
      <c r="M25" s="51"/>
      <c r="N25" s="51"/>
      <c r="O25" s="51"/>
      <c r="P25" s="46"/>
    </row>
    <row r="26" s="46" customFormat="1" ht="28.5">
      <c r="A26" s="68">
        <v>6</v>
      </c>
      <c r="B26" s="82" t="s">
        <v>51</v>
      </c>
      <c r="C26" s="88">
        <v>0.5</v>
      </c>
      <c r="D26" s="84" t="s">
        <v>24</v>
      </c>
      <c r="E26" s="89" t="s">
        <v>52</v>
      </c>
      <c r="F26" s="90"/>
      <c r="G26" s="90"/>
      <c r="H26" s="91"/>
      <c r="I26" s="51"/>
      <c r="J26" s="51"/>
      <c r="K26" s="51"/>
      <c r="L26" s="51"/>
      <c r="M26" s="51"/>
      <c r="N26" s="51"/>
      <c r="O26" s="51"/>
      <c r="P26" s="46"/>
    </row>
    <row r="27" s="46" customFormat="1" ht="28.5">
      <c r="A27" s="68">
        <v>7</v>
      </c>
      <c r="B27" s="82" t="s">
        <v>53</v>
      </c>
      <c r="C27" s="92">
        <v>0.20999999999999999</v>
      </c>
      <c r="D27" s="93" t="s">
        <v>13</v>
      </c>
      <c r="E27" s="94" t="s">
        <v>54</v>
      </c>
      <c r="F27" s="95"/>
      <c r="G27" s="95"/>
      <c r="H27" s="96"/>
      <c r="I27" s="51"/>
      <c r="J27" s="51"/>
      <c r="K27" s="51"/>
      <c r="L27" s="51"/>
      <c r="M27" s="51"/>
      <c r="N27" s="51"/>
      <c r="O27" s="51"/>
      <c r="P27" s="46"/>
    </row>
    <row r="28" s="46" customFormat="1" ht="48.75" customHeight="1">
      <c r="A28" s="68">
        <v>8</v>
      </c>
      <c r="B28" s="82" t="s">
        <v>55</v>
      </c>
      <c r="C28" s="83">
        <v>0.56000000000000005</v>
      </c>
      <c r="D28" s="97" t="s">
        <v>24</v>
      </c>
      <c r="E28" s="98" t="s">
        <v>56</v>
      </c>
      <c r="F28" s="98"/>
      <c r="G28" s="98"/>
      <c r="H28" s="98"/>
      <c r="I28" s="51"/>
      <c r="J28" s="51"/>
      <c r="K28" s="51"/>
      <c r="L28" s="51"/>
      <c r="M28" s="51"/>
      <c r="N28" s="51"/>
      <c r="O28" s="51"/>
      <c r="P28" s="46"/>
    </row>
    <row r="29" s="46" customFormat="1" ht="28.5">
      <c r="A29" s="68">
        <v>9</v>
      </c>
      <c r="B29" s="82" t="s">
        <v>57</v>
      </c>
      <c r="C29" s="99">
        <v>0.19</v>
      </c>
      <c r="D29" s="100" t="s">
        <v>58</v>
      </c>
      <c r="E29" s="101" t="s">
        <v>59</v>
      </c>
      <c r="F29" s="101"/>
      <c r="G29" s="101"/>
      <c r="H29" s="101"/>
      <c r="I29" s="51"/>
      <c r="J29" s="51"/>
      <c r="K29" s="51"/>
      <c r="L29" s="51"/>
      <c r="M29" s="51"/>
      <c r="N29" s="51"/>
      <c r="O29" s="51"/>
      <c r="P29" s="46"/>
    </row>
    <row r="30" s="46" customFormat="1" ht="15">
      <c r="A30" s="3"/>
      <c r="B30" s="102"/>
      <c r="C30" s="103"/>
      <c r="D30" s="104"/>
      <c r="E30" s="105"/>
      <c r="F30" s="105"/>
      <c r="G30" s="105"/>
      <c r="H30" s="105"/>
      <c r="I30" s="51"/>
      <c r="J30" s="51"/>
      <c r="K30" s="51"/>
      <c r="L30" s="51"/>
      <c r="M30" s="51"/>
      <c r="N30" s="51"/>
      <c r="O30" s="51"/>
      <c r="P30" s="46"/>
    </row>
    <row r="31" s="46" customFormat="1" ht="15">
      <c r="A31" s="3"/>
      <c r="B31" s="102"/>
      <c r="C31" s="103"/>
      <c r="D31" s="104"/>
      <c r="E31" s="105"/>
      <c r="F31" s="105"/>
      <c r="G31" s="105"/>
      <c r="H31" s="105"/>
      <c r="I31" s="51"/>
      <c r="J31" s="51"/>
      <c r="K31" s="51"/>
      <c r="L31" s="51"/>
      <c r="M31" s="51"/>
      <c r="N31" s="51"/>
      <c r="O31" s="51"/>
      <c r="P31" s="46"/>
    </row>
    <row r="32" s="46" customFormat="1" ht="15">
      <c r="A32" s="3"/>
      <c r="B32" s="102"/>
      <c r="C32" s="103"/>
      <c r="D32" s="104"/>
      <c r="E32" s="105"/>
      <c r="F32" s="105"/>
      <c r="G32" s="105"/>
      <c r="H32" s="105"/>
      <c r="I32" s="51"/>
      <c r="J32" s="51"/>
      <c r="K32" s="51"/>
      <c r="L32" s="51"/>
      <c r="M32" s="51"/>
      <c r="N32" s="51"/>
      <c r="O32" s="51"/>
      <c r="P32" s="46"/>
    </row>
    <row r="33" s="46" customFormat="1" ht="15">
      <c r="A33" s="106" t="s">
        <v>60</v>
      </c>
      <c r="B33" s="102"/>
      <c r="C33" s="103"/>
      <c r="D33" s="104"/>
      <c r="E33" s="105"/>
      <c r="F33" s="105"/>
      <c r="G33" s="105"/>
      <c r="H33" s="105"/>
      <c r="I33" s="51"/>
      <c r="J33" s="51"/>
      <c r="K33" s="51"/>
      <c r="L33" s="51"/>
      <c r="M33" s="51"/>
      <c r="N33" s="51"/>
      <c r="O33" s="51"/>
      <c r="P33" s="46"/>
    </row>
    <row r="34" s="46" customFormat="1" ht="75">
      <c r="A34" s="107" t="s">
        <v>5</v>
      </c>
      <c r="B34" s="108" t="s">
        <v>6</v>
      </c>
      <c r="C34" s="108" t="s">
        <v>7</v>
      </c>
      <c r="D34" s="109" t="s">
        <v>8</v>
      </c>
      <c r="E34" s="109"/>
      <c r="F34" s="109" t="s">
        <v>9</v>
      </c>
      <c r="G34" s="109" t="s">
        <v>10</v>
      </c>
      <c r="H34" s="11" t="s">
        <v>11</v>
      </c>
      <c r="I34" s="12"/>
      <c r="J34" s="12"/>
      <c r="K34" s="12"/>
      <c r="L34" s="12"/>
      <c r="M34" s="12"/>
      <c r="N34" s="12"/>
      <c r="O34" s="12"/>
      <c r="P34" s="46"/>
    </row>
    <row r="35" s="46" customFormat="1" ht="30">
      <c r="A35" s="110">
        <v>1</v>
      </c>
      <c r="B35" s="111" t="s">
        <v>61</v>
      </c>
      <c r="C35" s="112">
        <v>0.14999999999999999</v>
      </c>
      <c r="D35" s="113" t="s">
        <v>58</v>
      </c>
      <c r="E35" s="114"/>
      <c r="F35" s="115" t="s">
        <v>62</v>
      </c>
      <c r="G35" s="116" t="s">
        <v>63</v>
      </c>
      <c r="H35" s="117" t="s">
        <v>64</v>
      </c>
      <c r="I35" s="46"/>
      <c r="J35" s="46"/>
      <c r="K35" s="46"/>
      <c r="L35" s="46"/>
      <c r="M35" s="46"/>
      <c r="N35" s="46"/>
      <c r="O35" s="46"/>
      <c r="P35" s="46"/>
    </row>
    <row r="36" s="46" customFormat="1" ht="30">
      <c r="A36" s="110">
        <v>2</v>
      </c>
      <c r="B36" s="111" t="s">
        <v>65</v>
      </c>
      <c r="C36" s="112">
        <v>0.16</v>
      </c>
      <c r="D36" s="113" t="s">
        <v>58</v>
      </c>
      <c r="E36" s="114"/>
      <c r="F36" s="115" t="s">
        <v>62</v>
      </c>
      <c r="G36" s="118" t="s">
        <v>66</v>
      </c>
      <c r="H36" s="119" t="s">
        <v>64</v>
      </c>
      <c r="I36" s="46"/>
      <c r="J36" s="46"/>
      <c r="K36" s="46"/>
      <c r="L36" s="46"/>
      <c r="M36" s="46"/>
      <c r="N36" s="46"/>
      <c r="O36" s="46"/>
      <c r="P36" s="46"/>
    </row>
    <row r="37" s="46" customFormat="1" ht="30">
      <c r="A37" s="110">
        <v>3</v>
      </c>
      <c r="B37" s="120" t="s">
        <v>67</v>
      </c>
      <c r="C37" s="112">
        <v>0.17000000000000001</v>
      </c>
      <c r="D37" s="113" t="s">
        <v>58</v>
      </c>
      <c r="E37" s="114"/>
      <c r="F37" s="115" t="s">
        <v>62</v>
      </c>
      <c r="G37" s="118" t="s">
        <v>66</v>
      </c>
      <c r="H37" s="119" t="s">
        <v>68</v>
      </c>
      <c r="I37" s="46"/>
      <c r="J37" s="46"/>
      <c r="K37" s="46"/>
      <c r="L37" s="46"/>
      <c r="M37" s="46"/>
      <c r="N37" s="46"/>
      <c r="O37" s="46"/>
      <c r="P37" s="46"/>
    </row>
    <row r="38" s="46" customFormat="1" ht="42.75">
      <c r="A38" s="110">
        <v>4</v>
      </c>
      <c r="B38" s="121" t="s">
        <v>69</v>
      </c>
      <c r="C38" s="112">
        <v>0.20000000000000001</v>
      </c>
      <c r="D38" s="113" t="s">
        <v>58</v>
      </c>
      <c r="E38" s="114"/>
      <c r="F38" s="122" t="s">
        <v>62</v>
      </c>
      <c r="G38" s="116" t="s">
        <v>70</v>
      </c>
      <c r="H38" s="123" t="s">
        <v>71</v>
      </c>
      <c r="I38" s="12"/>
      <c r="J38" s="12"/>
      <c r="K38" s="12"/>
      <c r="L38" s="12"/>
      <c r="M38" s="12"/>
      <c r="N38" s="12"/>
      <c r="O38" s="12"/>
      <c r="P38" s="46"/>
    </row>
    <row r="39" s="46" customFormat="1" ht="30">
      <c r="A39" s="110">
        <v>5</v>
      </c>
      <c r="B39" s="120" t="s">
        <v>72</v>
      </c>
      <c r="C39" s="124">
        <v>0.25</v>
      </c>
      <c r="D39" s="125" t="s">
        <v>13</v>
      </c>
      <c r="E39" s="126"/>
      <c r="F39" s="115" t="s">
        <v>62</v>
      </c>
      <c r="G39" s="118" t="s">
        <v>66</v>
      </c>
      <c r="H39" s="117" t="s">
        <v>73</v>
      </c>
      <c r="I39" s="46"/>
      <c r="J39" s="46"/>
      <c r="K39" s="46"/>
      <c r="L39" s="46"/>
      <c r="M39" s="46"/>
      <c r="N39" s="46"/>
      <c r="O39" s="46"/>
      <c r="P39" s="46"/>
    </row>
    <row r="40" s="46" customFormat="1" ht="42.75">
      <c r="A40" s="110">
        <v>6</v>
      </c>
      <c r="B40" s="120" t="s">
        <v>74</v>
      </c>
      <c r="C40" s="124">
        <v>0.27000000000000002</v>
      </c>
      <c r="D40" s="125" t="s">
        <v>13</v>
      </c>
      <c r="E40" s="126"/>
      <c r="F40" s="115" t="s">
        <v>62</v>
      </c>
      <c r="G40" s="116" t="s">
        <v>63</v>
      </c>
      <c r="H40" s="127" t="s">
        <v>75</v>
      </c>
      <c r="I40" s="12"/>
      <c r="J40" s="12"/>
      <c r="K40" s="12"/>
      <c r="L40" s="12"/>
      <c r="M40" s="12"/>
      <c r="N40" s="12"/>
      <c r="O40" s="12"/>
      <c r="P40" s="46"/>
    </row>
    <row r="41" s="46" customFormat="1" ht="28.5">
      <c r="A41" s="110">
        <v>7</v>
      </c>
      <c r="B41" s="120" t="s">
        <v>76</v>
      </c>
      <c r="C41" s="124">
        <v>0.28999999999999998</v>
      </c>
      <c r="D41" s="125" t="s">
        <v>13</v>
      </c>
      <c r="E41" s="126"/>
      <c r="F41" s="115" t="s">
        <v>62</v>
      </c>
      <c r="G41" s="116" t="s">
        <v>70</v>
      </c>
      <c r="H41" s="127" t="s">
        <v>73</v>
      </c>
      <c r="I41" s="12"/>
      <c r="J41" s="12"/>
      <c r="K41" s="12"/>
      <c r="L41" s="12"/>
      <c r="M41" s="12"/>
      <c r="N41" s="12"/>
      <c r="O41" s="12"/>
      <c r="P41" s="46"/>
    </row>
    <row r="42" s="46" customFormat="1" ht="85.5">
      <c r="A42" s="110">
        <v>8</v>
      </c>
      <c r="B42" s="120" t="s">
        <v>77</v>
      </c>
      <c r="C42" s="124">
        <v>0.29999999999999999</v>
      </c>
      <c r="D42" s="125" t="s">
        <v>13</v>
      </c>
      <c r="E42" s="126"/>
      <c r="F42" s="115" t="s">
        <v>62</v>
      </c>
      <c r="G42" s="116" t="s">
        <v>70</v>
      </c>
      <c r="H42" s="127" t="s">
        <v>78</v>
      </c>
      <c r="I42" s="12"/>
      <c r="J42" s="12"/>
      <c r="K42" s="12"/>
      <c r="L42" s="12"/>
      <c r="M42" s="12"/>
      <c r="N42" s="12"/>
      <c r="O42" s="12"/>
      <c r="P42" s="46"/>
    </row>
    <row r="43" s="46" customFormat="1" ht="30">
      <c r="A43" s="110">
        <v>9</v>
      </c>
      <c r="B43" s="111" t="s">
        <v>79</v>
      </c>
      <c r="C43" s="124">
        <v>0.34000000000000002</v>
      </c>
      <c r="D43" s="125" t="s">
        <v>13</v>
      </c>
      <c r="E43" s="126"/>
      <c r="F43" s="115" t="s">
        <v>62</v>
      </c>
      <c r="G43" s="118" t="s">
        <v>63</v>
      </c>
      <c r="H43" s="119" t="s">
        <v>64</v>
      </c>
      <c r="I43" s="46"/>
      <c r="J43" s="46"/>
      <c r="K43" s="46"/>
      <c r="L43" s="46"/>
      <c r="M43" s="46"/>
      <c r="N43" s="46"/>
      <c r="O43" s="46"/>
      <c r="P43" s="46"/>
    </row>
    <row r="44" s="46" customFormat="1" ht="42.75">
      <c r="A44" s="110">
        <v>10</v>
      </c>
      <c r="B44" s="120" t="s">
        <v>80</v>
      </c>
      <c r="C44" s="124">
        <v>0.32000000000000001</v>
      </c>
      <c r="D44" s="125" t="s">
        <v>13</v>
      </c>
      <c r="E44" s="126"/>
      <c r="F44" s="115" t="s">
        <v>62</v>
      </c>
      <c r="G44" s="128" t="s">
        <v>66</v>
      </c>
      <c r="H44" s="127" t="s">
        <v>81</v>
      </c>
      <c r="I44" s="12"/>
      <c r="J44" s="12"/>
      <c r="K44" s="12"/>
      <c r="L44" s="12"/>
      <c r="M44" s="12"/>
      <c r="N44" s="12"/>
      <c r="O44" s="12"/>
      <c r="P44" s="46"/>
    </row>
    <row r="45" s="46" customFormat="1" ht="30">
      <c r="A45" s="110">
        <v>11</v>
      </c>
      <c r="B45" s="129" t="s">
        <v>82</v>
      </c>
      <c r="C45" s="124">
        <v>0.39000000000000001</v>
      </c>
      <c r="D45" s="125" t="s">
        <v>13</v>
      </c>
      <c r="E45" s="126"/>
      <c r="F45" s="122" t="s">
        <v>62</v>
      </c>
      <c r="G45" s="118" t="s">
        <v>66</v>
      </c>
      <c r="H45" s="130" t="s">
        <v>83</v>
      </c>
      <c r="I45" s="12"/>
      <c r="J45" s="12"/>
      <c r="K45" s="12"/>
      <c r="L45" s="12"/>
      <c r="M45" s="12"/>
      <c r="N45" s="12"/>
      <c r="O45" s="12"/>
      <c r="P45" s="46"/>
    </row>
    <row r="46" s="46" customFormat="1" ht="42.75">
      <c r="A46" s="110">
        <v>12</v>
      </c>
      <c r="B46" s="120" t="s">
        <v>84</v>
      </c>
      <c r="C46" s="124">
        <v>0.40000000000000002</v>
      </c>
      <c r="D46" s="125" t="s">
        <v>13</v>
      </c>
      <c r="E46" s="126"/>
      <c r="F46" s="115" t="s">
        <v>62</v>
      </c>
      <c r="G46" s="116" t="s">
        <v>70</v>
      </c>
      <c r="H46" s="127" t="s">
        <v>78</v>
      </c>
      <c r="I46" s="12"/>
      <c r="J46" s="12"/>
      <c r="K46" s="12"/>
      <c r="L46" s="12"/>
      <c r="M46" s="12"/>
      <c r="N46" s="12"/>
      <c r="O46" s="12"/>
      <c r="P46" s="46"/>
    </row>
    <row r="47" s="46" customFormat="1" ht="28.5">
      <c r="A47" s="110">
        <v>13</v>
      </c>
      <c r="B47" s="120" t="s">
        <v>85</v>
      </c>
      <c r="C47" s="131">
        <v>0.41999999999999998</v>
      </c>
      <c r="D47" s="132" t="s">
        <v>24</v>
      </c>
      <c r="E47" s="133"/>
      <c r="F47" s="115" t="s">
        <v>62</v>
      </c>
      <c r="G47" s="116" t="s">
        <v>70</v>
      </c>
      <c r="H47" s="134" t="s">
        <v>78</v>
      </c>
      <c r="I47" s="46"/>
      <c r="J47" s="46"/>
      <c r="K47" s="46"/>
      <c r="L47" s="46"/>
      <c r="M47" s="46"/>
      <c r="N47" s="46"/>
      <c r="O47" s="46"/>
      <c r="P47" s="46"/>
    </row>
    <row r="48" s="46" customFormat="1" ht="45">
      <c r="A48" s="135">
        <v>14</v>
      </c>
      <c r="B48" s="111" t="s">
        <v>86</v>
      </c>
      <c r="C48" s="136">
        <v>0.46999999999999997</v>
      </c>
      <c r="D48" s="137" t="s">
        <v>24</v>
      </c>
      <c r="E48" s="138"/>
      <c r="F48" s="110" t="s">
        <v>62</v>
      </c>
      <c r="G48" s="118" t="s">
        <v>66</v>
      </c>
      <c r="H48" s="119" t="s">
        <v>87</v>
      </c>
      <c r="I48" s="12"/>
      <c r="J48" s="12"/>
      <c r="K48" s="12"/>
      <c r="L48" s="12"/>
      <c r="M48" s="12"/>
      <c r="N48" s="12"/>
      <c r="O48" s="12"/>
      <c r="P48" s="46"/>
    </row>
    <row r="49" s="46" customFormat="1" ht="28.5">
      <c r="A49" s="135">
        <v>15</v>
      </c>
      <c r="B49" s="120" t="s">
        <v>88</v>
      </c>
      <c r="C49" s="131">
        <v>0.47999999999999998</v>
      </c>
      <c r="D49" s="132" t="s">
        <v>24</v>
      </c>
      <c r="E49" s="133"/>
      <c r="F49" s="110" t="s">
        <v>62</v>
      </c>
      <c r="G49" s="116" t="s">
        <v>66</v>
      </c>
      <c r="H49" s="127" t="s">
        <v>89</v>
      </c>
      <c r="I49" s="12"/>
      <c r="J49" s="12"/>
      <c r="K49" s="12"/>
      <c r="L49" s="12"/>
      <c r="M49" s="12"/>
      <c r="N49" s="12"/>
      <c r="O49" s="12"/>
      <c r="P49" s="46"/>
    </row>
    <row r="50" s="46" customFormat="1" ht="71.25">
      <c r="A50" s="135">
        <v>16</v>
      </c>
      <c r="B50" s="120" t="s">
        <v>90</v>
      </c>
      <c r="C50" s="131">
        <v>0.53000000000000003</v>
      </c>
      <c r="D50" s="132" t="s">
        <v>24</v>
      </c>
      <c r="E50" s="133"/>
      <c r="F50" s="110" t="s">
        <v>62</v>
      </c>
      <c r="G50" s="116" t="s">
        <v>70</v>
      </c>
      <c r="H50" s="139" t="s">
        <v>68</v>
      </c>
      <c r="I50" s="12"/>
      <c r="J50" s="12"/>
      <c r="K50" s="12"/>
      <c r="L50" s="12"/>
      <c r="M50" s="12"/>
      <c r="N50" s="12"/>
      <c r="O50" s="12"/>
      <c r="P50" s="46"/>
    </row>
    <row r="51" s="46" customFormat="1" ht="28.5">
      <c r="A51" s="135">
        <v>17</v>
      </c>
      <c r="B51" s="120" t="s">
        <v>91</v>
      </c>
      <c r="C51" s="131">
        <v>0.53000000000000003</v>
      </c>
      <c r="D51" s="132" t="s">
        <v>24</v>
      </c>
      <c r="E51" s="133"/>
      <c r="F51" s="110" t="s">
        <v>62</v>
      </c>
      <c r="G51" s="116" t="s">
        <v>66</v>
      </c>
      <c r="H51" s="127" t="s">
        <v>75</v>
      </c>
      <c r="I51" s="12"/>
      <c r="J51" s="12"/>
      <c r="K51" s="12"/>
      <c r="L51" s="12"/>
      <c r="M51" s="12"/>
      <c r="N51" s="12"/>
      <c r="O51" s="12"/>
      <c r="P51" s="46"/>
    </row>
    <row r="52" s="46" customFormat="1" ht="28.5">
      <c r="A52" s="135">
        <v>18</v>
      </c>
      <c r="B52" s="120" t="s">
        <v>92</v>
      </c>
      <c r="C52" s="131">
        <v>0.56999999999999995</v>
      </c>
      <c r="D52" s="132" t="s">
        <v>24</v>
      </c>
      <c r="E52" s="133"/>
      <c r="F52" s="110" t="s">
        <v>62</v>
      </c>
      <c r="G52" s="116" t="s">
        <v>63</v>
      </c>
      <c r="H52" s="127" t="s">
        <v>25</v>
      </c>
      <c r="I52" s="12"/>
      <c r="J52" s="12"/>
      <c r="K52" s="12"/>
      <c r="L52" s="12"/>
      <c r="M52" s="12"/>
      <c r="N52" s="12"/>
      <c r="O52" s="12"/>
      <c r="P52" s="46"/>
    </row>
    <row r="53" s="46" customFormat="1" ht="28.5">
      <c r="A53" s="135">
        <v>19</v>
      </c>
      <c r="B53" s="120" t="s">
        <v>93</v>
      </c>
      <c r="C53" s="131">
        <v>0.62</v>
      </c>
      <c r="D53" s="132" t="s">
        <v>24</v>
      </c>
      <c r="E53" s="133"/>
      <c r="F53" s="110" t="s">
        <v>62</v>
      </c>
      <c r="G53" s="116" t="s">
        <v>66</v>
      </c>
      <c r="H53" s="127" t="s">
        <v>75</v>
      </c>
      <c r="I53" s="12"/>
      <c r="J53" s="12"/>
      <c r="K53" s="12"/>
      <c r="L53" s="12"/>
      <c r="M53" s="12"/>
      <c r="N53" s="12"/>
      <c r="O53" s="12"/>
      <c r="P53" s="46"/>
    </row>
    <row r="54" s="46" customFormat="1" ht="30">
      <c r="A54" s="135">
        <v>20</v>
      </c>
      <c r="B54" s="111" t="s">
        <v>94</v>
      </c>
      <c r="C54" s="140">
        <v>0.60999999999999999</v>
      </c>
      <c r="D54" s="33" t="s">
        <v>27</v>
      </c>
      <c r="E54" s="34"/>
      <c r="F54" s="110" t="s">
        <v>62</v>
      </c>
      <c r="G54" s="118" t="s">
        <v>66</v>
      </c>
      <c r="H54" s="139" t="s">
        <v>95</v>
      </c>
      <c r="I54" s="46"/>
      <c r="J54" s="46"/>
      <c r="K54" s="46"/>
      <c r="L54" s="46"/>
      <c r="M54" s="46"/>
      <c r="N54" s="46"/>
      <c r="O54" s="46"/>
      <c r="P54" s="46"/>
    </row>
    <row r="55" s="46" customFormat="1" ht="28.5">
      <c r="A55" s="135">
        <v>23</v>
      </c>
      <c r="B55" s="120" t="s">
        <v>96</v>
      </c>
      <c r="C55" s="140">
        <v>0.60999999999999999</v>
      </c>
      <c r="D55" s="33" t="s">
        <v>27</v>
      </c>
      <c r="E55" s="34"/>
      <c r="F55" s="110" t="s">
        <v>62</v>
      </c>
      <c r="G55" s="116" t="s">
        <v>70</v>
      </c>
      <c r="H55" s="127" t="s">
        <v>97</v>
      </c>
      <c r="I55" s="12"/>
      <c r="J55" s="12"/>
      <c r="K55" s="12"/>
      <c r="L55" s="12"/>
      <c r="M55" s="12"/>
      <c r="N55" s="12"/>
      <c r="O55" s="12"/>
      <c r="P55" s="46"/>
    </row>
    <row r="56" s="46" customFormat="1" ht="28.5">
      <c r="A56" s="135">
        <v>24</v>
      </c>
      <c r="B56" s="120" t="s">
        <v>98</v>
      </c>
      <c r="C56" s="140">
        <v>0.70999999999999996</v>
      </c>
      <c r="D56" s="33" t="s">
        <v>27</v>
      </c>
      <c r="E56" s="34"/>
      <c r="F56" s="110" t="s">
        <v>62</v>
      </c>
      <c r="G56" s="116" t="s">
        <v>70</v>
      </c>
      <c r="H56" s="139" t="s">
        <v>99</v>
      </c>
      <c r="I56" s="46"/>
      <c r="J56" s="46"/>
      <c r="K56" s="46"/>
      <c r="L56" s="46"/>
      <c r="M56" s="46"/>
      <c r="N56" s="46"/>
      <c r="O56" s="46"/>
      <c r="P56" s="46"/>
    </row>
    <row r="57" s="46" customFormat="1" ht="28.5">
      <c r="A57" s="135">
        <v>25</v>
      </c>
      <c r="B57" s="141" t="s">
        <v>100</v>
      </c>
      <c r="C57" s="142">
        <v>0.82999999999999996</v>
      </c>
      <c r="D57" s="143" t="s">
        <v>30</v>
      </c>
      <c r="E57" s="144"/>
      <c r="F57" s="110" t="s">
        <v>62</v>
      </c>
      <c r="G57" s="116" t="s">
        <v>63</v>
      </c>
      <c r="H57" s="139" t="s">
        <v>101</v>
      </c>
      <c r="I57" s="12"/>
      <c r="J57" s="12"/>
      <c r="K57" s="12"/>
      <c r="L57" s="12"/>
      <c r="M57" s="12"/>
      <c r="N57" s="12"/>
      <c r="O57" s="12"/>
      <c r="P57" s="46"/>
    </row>
    <row r="58" s="46" customFormat="1" ht="60">
      <c r="A58" s="13">
        <v>26</v>
      </c>
      <c r="B58" s="41" t="s">
        <v>102</v>
      </c>
      <c r="C58" s="37">
        <v>0.85999999999999999</v>
      </c>
      <c r="D58" s="145" t="s">
        <v>30</v>
      </c>
      <c r="E58" s="146"/>
      <c r="F58" s="110" t="s">
        <v>62</v>
      </c>
      <c r="G58" s="118" t="s">
        <v>66</v>
      </c>
      <c r="H58" s="26" t="s">
        <v>103</v>
      </c>
      <c r="I58" s="46"/>
      <c r="J58" s="46"/>
      <c r="K58" s="46"/>
      <c r="L58" s="46"/>
      <c r="M58" s="46"/>
      <c r="N58" s="46"/>
      <c r="O58" s="46"/>
      <c r="P58" s="46"/>
    </row>
    <row r="59" s="46" customFormat="1" ht="28.5">
      <c r="A59" s="13">
        <v>27</v>
      </c>
      <c r="B59" s="27" t="s">
        <v>104</v>
      </c>
      <c r="C59" s="37">
        <v>0.85999999999999999</v>
      </c>
      <c r="D59" s="145" t="s">
        <v>30</v>
      </c>
      <c r="E59" s="146"/>
      <c r="F59" s="147" t="s">
        <v>62</v>
      </c>
      <c r="G59" s="148" t="s">
        <v>63</v>
      </c>
      <c r="H59" s="26" t="s">
        <v>103</v>
      </c>
      <c r="I59" s="12"/>
      <c r="J59" s="12"/>
      <c r="K59" s="12"/>
      <c r="L59" s="12"/>
      <c r="M59" s="12"/>
      <c r="N59" s="12"/>
      <c r="O59" s="12"/>
      <c r="P59" s="46"/>
    </row>
    <row r="60" s="46" customFormat="1" ht="17.25">
      <c r="A60" s="149" t="s">
        <v>35</v>
      </c>
      <c r="B60" s="149"/>
      <c r="C60" s="150">
        <f>(C35+C36+C37+C38+C39+C40+C41+C42+C43+C44+C45+C46+C47+C47+C48+C49+C50+C51+C52+C53+C54+C55+C56+C57+C58+C59)/27</f>
        <v>0.43555555555555553</v>
      </c>
      <c r="D60" s="151" t="s">
        <v>24</v>
      </c>
      <c r="E60" s="151"/>
      <c r="F60" s="151"/>
      <c r="G60" s="151"/>
      <c r="H60" s="151"/>
    </row>
    <row r="61" ht="14.25"/>
    <row r="62" ht="19.5">
      <c r="A62" s="152" t="s">
        <v>105</v>
      </c>
      <c r="B62" s="152"/>
      <c r="C62" s="152"/>
      <c r="D62" s="152"/>
      <c r="E62" s="152"/>
      <c r="F62" s="152"/>
      <c r="G62" s="152"/>
      <c r="H62" s="153"/>
    </row>
    <row r="63" ht="19.5">
      <c r="A63" s="61"/>
      <c r="B63" s="62" t="s">
        <v>106</v>
      </c>
      <c r="C63" s="154" t="s">
        <v>7</v>
      </c>
      <c r="D63" s="154"/>
      <c r="E63" s="155" t="s">
        <v>107</v>
      </c>
      <c r="F63" s="155"/>
      <c r="G63" s="155"/>
      <c r="H63" s="155"/>
    </row>
    <row r="64" ht="43.5" customHeight="1">
      <c r="A64" s="156">
        <v>1</v>
      </c>
      <c r="B64" s="13" t="s">
        <v>40</v>
      </c>
      <c r="C64" s="157">
        <v>0.14000000000000001</v>
      </c>
      <c r="D64" s="158" t="s">
        <v>58</v>
      </c>
      <c r="E64" s="159" t="s">
        <v>108</v>
      </c>
      <c r="F64" s="160"/>
      <c r="G64" s="160"/>
      <c r="H64" s="161"/>
    </row>
    <row r="65" ht="63" customHeight="1">
      <c r="A65" s="156">
        <v>2</v>
      </c>
      <c r="B65" s="13" t="s">
        <v>42</v>
      </c>
      <c r="C65" s="162">
        <v>0.34000000000000002</v>
      </c>
      <c r="D65" s="163" t="s">
        <v>13</v>
      </c>
      <c r="E65" s="72" t="s">
        <v>109</v>
      </c>
      <c r="F65" s="73"/>
      <c r="G65" s="73"/>
      <c r="H65" s="74"/>
    </row>
    <row r="66" ht="30">
      <c r="A66" s="156">
        <v>3</v>
      </c>
      <c r="B66" s="13" t="s">
        <v>44</v>
      </c>
      <c r="C66" s="164">
        <v>0.72999999999999998</v>
      </c>
      <c r="D66" s="165" t="s">
        <v>27</v>
      </c>
      <c r="E66" s="72" t="s">
        <v>110</v>
      </c>
      <c r="F66" s="73"/>
      <c r="G66" s="73"/>
      <c r="H66" s="74"/>
    </row>
    <row r="67" ht="60" customHeight="1">
      <c r="A67" s="156">
        <v>4</v>
      </c>
      <c r="B67" s="13" t="s">
        <v>47</v>
      </c>
      <c r="C67" s="81">
        <v>0.56000000000000005</v>
      </c>
      <c r="D67" s="166" t="s">
        <v>24</v>
      </c>
      <c r="E67" s="72" t="s">
        <v>111</v>
      </c>
      <c r="F67" s="73"/>
      <c r="G67" s="73"/>
      <c r="H67" s="74"/>
    </row>
    <row r="68" ht="52.5" customHeight="1">
      <c r="A68" s="156">
        <v>5</v>
      </c>
      <c r="B68" s="156" t="s">
        <v>49</v>
      </c>
      <c r="C68" s="167">
        <v>0.47999999999999998</v>
      </c>
      <c r="D68" s="166" t="s">
        <v>24</v>
      </c>
      <c r="E68" s="168" t="s">
        <v>112</v>
      </c>
      <c r="F68" s="169"/>
      <c r="G68" s="169"/>
      <c r="H68" s="170"/>
    </row>
    <row r="69" ht="30">
      <c r="A69" s="156">
        <v>6</v>
      </c>
      <c r="B69" s="156" t="s">
        <v>51</v>
      </c>
      <c r="C69" s="171">
        <v>0.82999999999999996</v>
      </c>
      <c r="D69" s="172" t="s">
        <v>30</v>
      </c>
      <c r="E69" s="168" t="s">
        <v>113</v>
      </c>
      <c r="F69" s="169"/>
      <c r="G69" s="169"/>
      <c r="H69" s="170"/>
    </row>
    <row r="70" ht="30">
      <c r="A70" s="156">
        <v>7</v>
      </c>
      <c r="B70" s="156" t="s">
        <v>53</v>
      </c>
      <c r="C70" s="173">
        <v>0.14000000000000001</v>
      </c>
      <c r="D70" s="174" t="s">
        <v>58</v>
      </c>
      <c r="E70" s="168" t="s">
        <v>114</v>
      </c>
      <c r="F70" s="169"/>
      <c r="G70" s="169"/>
      <c r="H70" s="170"/>
    </row>
    <row r="71" ht="30">
      <c r="A71" s="156">
        <v>8</v>
      </c>
      <c r="B71" s="156" t="s">
        <v>55</v>
      </c>
      <c r="C71" s="175">
        <v>0.34000000000000002</v>
      </c>
      <c r="D71" s="163" t="s">
        <v>115</v>
      </c>
      <c r="E71" s="168" t="s">
        <v>116</v>
      </c>
      <c r="F71" s="169"/>
      <c r="G71" s="169"/>
      <c r="H71" s="170"/>
    </row>
    <row r="72" ht="30">
      <c r="A72" s="156">
        <v>9</v>
      </c>
      <c r="B72" s="176" t="s">
        <v>57</v>
      </c>
      <c r="C72" s="167">
        <v>0.42999999999999999</v>
      </c>
      <c r="D72" s="166" t="s">
        <v>24</v>
      </c>
      <c r="E72" s="168" t="s">
        <v>117</v>
      </c>
      <c r="F72" s="169"/>
      <c r="G72" s="169"/>
      <c r="H72" s="170"/>
    </row>
    <row r="73" ht="14.25"/>
    <row r="74" ht="45.75" customHeight="1">
      <c r="A74" s="177"/>
      <c r="B74" s="178"/>
      <c r="C74" s="179"/>
      <c r="D74" s="180"/>
      <c r="E74" s="180"/>
      <c r="F74" s="180"/>
      <c r="G74" s="180"/>
    </row>
    <row r="75" ht="24" customHeight="1">
      <c r="A75" s="181" t="s">
        <v>118</v>
      </c>
      <c r="B75" s="182"/>
      <c r="C75" s="183" t="s">
        <v>119</v>
      </c>
      <c r="D75" s="183"/>
      <c r="E75" s="183"/>
      <c r="F75" s="183"/>
      <c r="G75" s="183"/>
    </row>
    <row r="76" ht="13.5" customHeight="1">
      <c r="A76" s="184"/>
      <c r="B76" s="184"/>
      <c r="C76" s="185" t="s">
        <v>120</v>
      </c>
      <c r="D76" s="185"/>
      <c r="E76" s="185"/>
      <c r="F76" s="185"/>
      <c r="G76" s="185"/>
    </row>
    <row r="77" ht="14.25" customHeight="1">
      <c r="A77" s="184"/>
      <c r="B77" s="184"/>
      <c r="C77" s="186" t="s">
        <v>121</v>
      </c>
      <c r="D77" s="186"/>
      <c r="E77" s="186"/>
      <c r="F77" s="186"/>
      <c r="G77" s="186"/>
    </row>
    <row r="78" ht="17.25" customHeight="1">
      <c r="A78" s="184"/>
      <c r="B78" s="184"/>
      <c r="C78" s="187" t="s">
        <v>122</v>
      </c>
      <c r="D78" s="188"/>
      <c r="E78" s="188"/>
      <c r="F78" s="188"/>
      <c r="G78" s="188"/>
    </row>
    <row r="79" ht="18.75">
      <c r="A79" s="184"/>
      <c r="B79" s="184"/>
      <c r="C79" s="189" t="s">
        <v>123</v>
      </c>
      <c r="D79" s="190"/>
      <c r="E79" s="190"/>
      <c r="F79" s="190"/>
      <c r="G79" s="191"/>
      <c r="H79" s="12"/>
    </row>
    <row r="80" ht="18.75">
      <c r="A80" s="184"/>
      <c r="B80" s="184"/>
      <c r="C80" s="192" t="s">
        <v>124</v>
      </c>
      <c r="D80" s="193"/>
      <c r="E80" s="193"/>
      <c r="F80" s="193"/>
      <c r="G80" s="194"/>
      <c r="H80" s="12"/>
    </row>
    <row r="81" ht="37.5">
      <c r="A81" s="184"/>
      <c r="B81" s="184"/>
      <c r="C81" s="195" t="s">
        <v>125</v>
      </c>
      <c r="D81" s="196"/>
      <c r="E81" s="196"/>
      <c r="F81" s="196"/>
      <c r="G81" s="197"/>
      <c r="H81" s="198"/>
    </row>
    <row r="82" ht="14.25"/>
    <row r="83" ht="14.25"/>
    <row r="84" ht="14.25"/>
    <row r="85" ht="14.25"/>
    <row r="86" ht="14.25"/>
    <row r="87" ht="14.25"/>
    <row r="88" ht="14.25"/>
    <row r="89" ht="14.25"/>
    <row r="90" ht="14.25"/>
    <row r="91" ht="14.25"/>
    <row r="92" ht="14.25"/>
    <row r="93" ht="14.25"/>
    <row r="94" ht="14.25"/>
    <row r="95" ht="14.25"/>
    <row r="96" ht="14.25"/>
    <row r="97" ht="14.25"/>
  </sheetData>
  <mergeCells count="72">
    <mergeCell ref="A1:F1"/>
    <mergeCell ref="A2:F2"/>
    <mergeCell ref="B3:E3"/>
    <mergeCell ref="D8:E8"/>
    <mergeCell ref="D9:E9"/>
    <mergeCell ref="D10:E10"/>
    <mergeCell ref="D11:E11"/>
    <mergeCell ref="D12:E12"/>
    <mergeCell ref="D14:E14"/>
    <mergeCell ref="D15:E15"/>
    <mergeCell ref="D16:E16"/>
    <mergeCell ref="D17:H17"/>
    <mergeCell ref="A19:H19"/>
    <mergeCell ref="C20:D20"/>
    <mergeCell ref="E20:H20"/>
    <mergeCell ref="E21:H21"/>
    <mergeCell ref="E22:H22"/>
    <mergeCell ref="E23:H23"/>
    <mergeCell ref="E24:H24"/>
    <mergeCell ref="E25:H25"/>
    <mergeCell ref="E26:H26"/>
    <mergeCell ref="E27:H27"/>
    <mergeCell ref="E28:H28"/>
    <mergeCell ref="E29:H29"/>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A60:B60"/>
    <mergeCell ref="D60:H60"/>
    <mergeCell ref="A62:H62"/>
    <mergeCell ref="C63:D63"/>
    <mergeCell ref="E63:H63"/>
    <mergeCell ref="E64:H64"/>
    <mergeCell ref="E65:H65"/>
    <mergeCell ref="E66:H66"/>
    <mergeCell ref="E67:H67"/>
    <mergeCell ref="E68:H68"/>
    <mergeCell ref="E69:H69"/>
    <mergeCell ref="E70:H70"/>
    <mergeCell ref="E71:H71"/>
    <mergeCell ref="E72:H72"/>
    <mergeCell ref="A75:B81"/>
    <mergeCell ref="C75:G75"/>
    <mergeCell ref="C76:G76"/>
    <mergeCell ref="C77:G77"/>
    <mergeCell ref="C78:G78"/>
    <mergeCell ref="C79:G79"/>
    <mergeCell ref="C80:G80"/>
    <mergeCell ref="C81:G81"/>
  </mergeCells>
  <hyperlinks>
    <hyperlink r:id="rId1" ref="A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28.7109375"/>
    <col customWidth="1" min="2" max="2" width="32.57421875"/>
    <col customWidth="1" min="3" max="3" width="52.00390625"/>
    <col customWidth="1" min="4" max="4" width="47.140625"/>
    <col customWidth="1" min="5" max="5" width="28.57421875"/>
  </cols>
  <sheetData>
    <row r="1" ht="24.75" customHeight="1">
      <c r="A1" s="199" t="s">
        <v>126</v>
      </c>
      <c r="B1" s="200" t="s">
        <v>127</v>
      </c>
      <c r="C1" s="199" t="s">
        <v>128</v>
      </c>
      <c r="D1" s="201" t="s">
        <v>129</v>
      </c>
      <c r="E1" s="202" t="s">
        <v>130</v>
      </c>
    </row>
    <row r="2">
      <c r="A2" s="203" t="s">
        <v>131</v>
      </c>
      <c r="B2" s="204" t="s">
        <v>132</v>
      </c>
      <c r="C2" s="205" t="s">
        <v>133</v>
      </c>
      <c r="D2" s="204" t="s">
        <v>134</v>
      </c>
      <c r="E2" s="206" t="s">
        <v>135</v>
      </c>
    </row>
    <row r="3" ht="72" customHeight="1">
      <c r="A3" s="207"/>
      <c r="B3" s="208"/>
      <c r="C3" s="205" t="s">
        <v>136</v>
      </c>
      <c r="D3" s="208"/>
      <c r="E3" s="206"/>
    </row>
    <row r="4" ht="28.5">
      <c r="A4" s="101" t="s">
        <v>137</v>
      </c>
      <c r="B4" s="206" t="s">
        <v>138</v>
      </c>
      <c r="C4" s="209" t="s">
        <v>139</v>
      </c>
      <c r="D4" s="82" t="s">
        <v>140</v>
      </c>
      <c r="E4" s="206"/>
    </row>
    <row r="5" ht="28.5">
      <c r="A5" s="101"/>
      <c r="B5" s="206"/>
      <c r="C5" s="101" t="s">
        <v>136</v>
      </c>
      <c r="D5" s="82" t="s">
        <v>141</v>
      </c>
      <c r="E5" s="206"/>
    </row>
    <row r="6" ht="42.75">
      <c r="A6" s="101"/>
      <c r="B6" s="206"/>
      <c r="C6" s="101"/>
      <c r="D6" s="82" t="s">
        <v>142</v>
      </c>
      <c r="E6" s="206"/>
    </row>
    <row r="7" ht="42.75">
      <c r="A7" s="204" t="s">
        <v>47</v>
      </c>
      <c r="B7" s="210" t="s">
        <v>143</v>
      </c>
      <c r="C7" s="209" t="s">
        <v>133</v>
      </c>
      <c r="D7" s="82" t="s">
        <v>144</v>
      </c>
      <c r="E7" s="206"/>
    </row>
    <row r="8" ht="28.5">
      <c r="A8" s="211"/>
      <c r="B8" s="212"/>
      <c r="C8" s="204" t="s">
        <v>145</v>
      </c>
      <c r="D8" s="82" t="s">
        <v>146</v>
      </c>
      <c r="E8" s="206"/>
    </row>
    <row r="9" ht="42.75">
      <c r="A9" s="208"/>
      <c r="B9" s="213"/>
      <c r="C9" s="208"/>
      <c r="D9" s="82" t="s">
        <v>147</v>
      </c>
      <c r="E9" s="206"/>
    </row>
    <row r="10" ht="114">
      <c r="A10" s="206" t="s">
        <v>148</v>
      </c>
      <c r="B10" s="209" t="s">
        <v>149</v>
      </c>
      <c r="C10" s="209" t="s">
        <v>133</v>
      </c>
      <c r="D10" s="82" t="s">
        <v>150</v>
      </c>
      <c r="E10" s="206"/>
    </row>
    <row r="11" ht="114">
      <c r="A11" s="206"/>
      <c r="B11" s="209" t="s">
        <v>151</v>
      </c>
      <c r="C11" s="209" t="s">
        <v>133</v>
      </c>
      <c r="D11" s="82" t="s">
        <v>152</v>
      </c>
      <c r="E11" s="206"/>
    </row>
    <row r="12"/>
    <row r="13"/>
    <row r="14"/>
    <row r="15"/>
    <row r="16"/>
    <row r="17"/>
    <row r="18"/>
    <row r="19"/>
    <row r="20"/>
    <row r="21"/>
    <row r="22"/>
    <row r="23"/>
    <row r="24"/>
    <row r="25"/>
    <row r="26"/>
    <row r="27"/>
    <row r="28"/>
    <row r="29"/>
    <row r="30"/>
    <row r="31"/>
    <row r="32"/>
    <row r="33"/>
    <row r="34"/>
    <row r="35"/>
  </sheetData>
  <mergeCells count="11">
    <mergeCell ref="A2:A3"/>
    <mergeCell ref="B2:B3"/>
    <mergeCell ref="D2:D3"/>
    <mergeCell ref="E2:E11"/>
    <mergeCell ref="A4:A6"/>
    <mergeCell ref="B4:B6"/>
    <mergeCell ref="C5:C6"/>
    <mergeCell ref="A7:A9"/>
    <mergeCell ref="B7:B9"/>
    <mergeCell ref="C8:C9"/>
    <mergeCell ref="A10:A1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7" zoomScale="100" workbookViewId="0">
      <selection activeCell="A1" activeCellId="0" sqref="A1"/>
    </sheetView>
  </sheetViews>
  <sheetFormatPr defaultRowHeight="14.25"/>
  <cols>
    <col customWidth="1" min="1" max="1" width="20.00390625"/>
    <col customWidth="1" min="2" max="2" width="21.57421875"/>
    <col customWidth="1" min="3" max="3" width="4.28125"/>
    <col customWidth="1" min="4" max="4" width="48.7109375"/>
    <col customWidth="1" min="5" max="5" style="105" width="13.28125"/>
    <col customWidth="1" min="6" max="6" style="214" width="19.421875"/>
    <col customWidth="1" min="7" max="7" width="81.00390625"/>
    <col customWidth="1" min="8" max="8" style="215" width="9.28125"/>
    <col customWidth="1" min="9" max="9" width="24.421875"/>
  </cols>
  <sheetData>
    <row r="1" ht="15">
      <c r="A1" s="216" t="s">
        <v>153</v>
      </c>
      <c r="B1" s="216"/>
      <c r="C1" s="216"/>
      <c r="D1" s="216"/>
      <c r="E1" s="216"/>
      <c r="F1" s="216"/>
      <c r="G1" s="216"/>
      <c r="H1" s="216"/>
      <c r="I1" s="216"/>
    </row>
    <row r="2" ht="66.75" customHeight="1">
      <c r="A2" s="217" t="s">
        <v>154</v>
      </c>
      <c r="B2" s="218"/>
      <c r="C2" s="219" t="s">
        <v>155</v>
      </c>
      <c r="D2" s="220"/>
      <c r="E2" s="221" t="s">
        <v>7</v>
      </c>
      <c r="F2" s="222"/>
      <c r="G2" s="223" t="s">
        <v>156</v>
      </c>
      <c r="H2" s="224" t="s">
        <v>157</v>
      </c>
      <c r="I2" s="224" t="s">
        <v>158</v>
      </c>
    </row>
    <row r="3" ht="63.75" customHeight="1">
      <c r="A3" s="225" t="s">
        <v>131</v>
      </c>
      <c r="B3" s="225" t="s">
        <v>132</v>
      </c>
      <c r="C3" s="18">
        <v>1</v>
      </c>
      <c r="D3" s="226" t="s">
        <v>29</v>
      </c>
      <c r="E3" s="227">
        <v>1</v>
      </c>
      <c r="F3" s="228" t="s">
        <v>30</v>
      </c>
      <c r="G3" s="229" t="s">
        <v>159</v>
      </c>
      <c r="H3" s="19" t="s">
        <v>14</v>
      </c>
      <c r="I3" s="230" t="s">
        <v>15</v>
      </c>
    </row>
    <row r="4" ht="185.25">
      <c r="A4" s="231"/>
      <c r="B4" s="231"/>
      <c r="C4" s="18">
        <v>2</v>
      </c>
      <c r="D4" s="232" t="s">
        <v>26</v>
      </c>
      <c r="E4" s="233">
        <v>0.93999999999999995</v>
      </c>
      <c r="F4" s="234" t="s">
        <v>30</v>
      </c>
      <c r="G4" s="229" t="s">
        <v>160</v>
      </c>
      <c r="H4" s="19" t="s">
        <v>14</v>
      </c>
      <c r="I4" s="230" t="s">
        <v>15</v>
      </c>
    </row>
    <row r="5" ht="82.5" customHeight="1">
      <c r="A5" s="231"/>
      <c r="B5" s="231"/>
      <c r="C5" s="18">
        <v>3</v>
      </c>
      <c r="D5" s="232" t="s">
        <v>12</v>
      </c>
      <c r="E5" s="235">
        <v>0</v>
      </c>
      <c r="F5" s="236" t="s">
        <v>161</v>
      </c>
      <c r="G5" s="237" t="s">
        <v>162</v>
      </c>
      <c r="H5" s="19" t="s">
        <v>14</v>
      </c>
      <c r="I5" s="230" t="s">
        <v>15</v>
      </c>
    </row>
    <row r="6" ht="67.5" customHeight="1">
      <c r="A6" s="231"/>
      <c r="B6" s="231"/>
      <c r="C6" s="18">
        <v>4</v>
      </c>
      <c r="D6" s="238" t="s">
        <v>20</v>
      </c>
      <c r="E6" s="235">
        <v>0</v>
      </c>
      <c r="F6" s="236" t="s">
        <v>161</v>
      </c>
      <c r="G6" s="237" t="s">
        <v>163</v>
      </c>
      <c r="H6" s="19" t="s">
        <v>14</v>
      </c>
      <c r="I6" s="230" t="s">
        <v>15</v>
      </c>
    </row>
    <row r="7" ht="72" customHeight="1">
      <c r="A7" s="231"/>
      <c r="B7" s="231"/>
      <c r="C7" s="18">
        <v>5</v>
      </c>
      <c r="D7" s="27" t="s">
        <v>23</v>
      </c>
      <c r="E7" s="235">
        <v>0</v>
      </c>
      <c r="F7" s="236" t="s">
        <v>161</v>
      </c>
      <c r="G7" s="232" t="s">
        <v>164</v>
      </c>
      <c r="H7" s="19" t="s">
        <v>14</v>
      </c>
      <c r="I7" s="230" t="s">
        <v>15</v>
      </c>
    </row>
    <row r="8" ht="77.25" customHeight="1">
      <c r="A8" s="231"/>
      <c r="B8" s="231"/>
      <c r="C8" s="18">
        <v>6</v>
      </c>
      <c r="D8" s="232" t="s">
        <v>22</v>
      </c>
      <c r="E8" s="235">
        <v>0</v>
      </c>
      <c r="F8" s="236" t="s">
        <v>161</v>
      </c>
      <c r="G8" s="232" t="s">
        <v>165</v>
      </c>
      <c r="H8" s="19" t="s">
        <v>14</v>
      </c>
      <c r="I8" s="230" t="s">
        <v>15</v>
      </c>
    </row>
    <row r="9" ht="42.75">
      <c r="A9" s="231"/>
      <c r="B9" s="231"/>
      <c r="C9" s="13">
        <v>7</v>
      </c>
      <c r="D9" s="239" t="s">
        <v>19</v>
      </c>
      <c r="E9" s="240">
        <v>0.91000000000000003</v>
      </c>
      <c r="F9" s="241" t="s">
        <v>30</v>
      </c>
      <c r="G9" s="229" t="s">
        <v>166</v>
      </c>
      <c r="H9" s="19" t="s">
        <v>14</v>
      </c>
      <c r="I9" s="230" t="s">
        <v>15</v>
      </c>
    </row>
    <row r="10" ht="41.25" customHeight="1">
      <c r="A10" s="231"/>
      <c r="B10" s="231"/>
      <c r="C10" s="13">
        <v>8</v>
      </c>
      <c r="D10" s="239" t="s">
        <v>32</v>
      </c>
      <c r="E10" s="242">
        <v>1</v>
      </c>
      <c r="F10" s="241" t="s">
        <v>30</v>
      </c>
      <c r="G10" s="229" t="s">
        <v>167</v>
      </c>
      <c r="H10" s="243" t="s">
        <v>168</v>
      </c>
      <c r="I10" s="230" t="s">
        <v>15</v>
      </c>
    </row>
    <row r="11" ht="41.25" customHeight="1">
      <c r="A11" s="244"/>
      <c r="B11" s="244"/>
      <c r="C11" s="13">
        <v>9</v>
      </c>
      <c r="D11" s="239" t="s">
        <v>17</v>
      </c>
      <c r="E11" s="235">
        <v>0</v>
      </c>
      <c r="F11" s="236" t="s">
        <v>161</v>
      </c>
      <c r="G11" s="229" t="s">
        <v>169</v>
      </c>
      <c r="H11" s="19" t="s">
        <v>14</v>
      </c>
      <c r="I11" s="230" t="s">
        <v>15</v>
      </c>
    </row>
    <row r="12" ht="41.25" customHeight="1">
      <c r="A12" s="245"/>
      <c r="B12" s="245"/>
      <c r="C12" s="246"/>
      <c r="D12" s="179"/>
      <c r="E12" s="247">
        <f>(E3+E4+E5+E6+E7+E8+E9+E10+E11)/9</f>
        <v>0.42777777777777781</v>
      </c>
      <c r="F12" s="40"/>
      <c r="G12" s="248"/>
      <c r="H12" s="249"/>
      <c r="I12" s="250"/>
    </row>
    <row r="13" ht="15">
      <c r="A13" s="251" t="s">
        <v>170</v>
      </c>
      <c r="B13" s="252"/>
      <c r="C13" s="252"/>
      <c r="D13" s="253"/>
      <c r="E13" s="246"/>
      <c r="F13" s="246"/>
      <c r="G13" s="252"/>
      <c r="H13" s="252"/>
      <c r="I13" s="252"/>
    </row>
    <row r="14" ht="57" customHeight="1">
      <c r="A14" s="176" t="s">
        <v>171</v>
      </c>
      <c r="B14" s="147" t="s">
        <v>132</v>
      </c>
      <c r="C14" s="147"/>
      <c r="D14" s="147"/>
      <c r="E14" s="254">
        <v>0.42999999999999999</v>
      </c>
      <c r="F14" s="255" t="s">
        <v>24</v>
      </c>
      <c r="G14" s="72" t="s">
        <v>41</v>
      </c>
      <c r="H14" s="73"/>
      <c r="I14" s="74"/>
    </row>
    <row r="15" ht="14.25">
      <c r="A15" s="215"/>
      <c r="B15" s="215"/>
      <c r="C15" s="215"/>
      <c r="D15" s="215"/>
      <c r="E15" s="105"/>
      <c r="F15" s="105"/>
      <c r="G15" s="215"/>
      <c r="H15" s="215"/>
      <c r="I15" s="215"/>
    </row>
    <row r="16" ht="26.25" customHeight="1">
      <c r="A16" s="256" t="s">
        <v>172</v>
      </c>
      <c r="B16" s="256"/>
      <c r="C16" s="256"/>
      <c r="D16" s="256"/>
      <c r="E16" s="256"/>
      <c r="F16" s="256"/>
      <c r="G16" s="256"/>
      <c r="H16" s="256"/>
      <c r="I16" s="256"/>
    </row>
    <row r="17" ht="60">
      <c r="A17" s="217" t="s">
        <v>154</v>
      </c>
      <c r="B17" s="218"/>
      <c r="C17" s="257" t="s">
        <v>155</v>
      </c>
      <c r="D17" s="220"/>
      <c r="E17" s="221" t="s">
        <v>7</v>
      </c>
      <c r="F17" s="222"/>
      <c r="G17" s="223" t="s">
        <v>156</v>
      </c>
      <c r="H17" s="224" t="s">
        <v>157</v>
      </c>
      <c r="I17" s="224" t="s">
        <v>158</v>
      </c>
    </row>
    <row r="18" ht="30">
      <c r="A18" s="225" t="s">
        <v>131</v>
      </c>
      <c r="B18" s="258" t="s">
        <v>132</v>
      </c>
      <c r="C18" s="18">
        <v>1</v>
      </c>
      <c r="D18" s="232" t="s">
        <v>173</v>
      </c>
      <c r="E18" s="259">
        <v>0</v>
      </c>
      <c r="F18" s="236" t="s">
        <v>174</v>
      </c>
      <c r="G18" s="260" t="s">
        <v>175</v>
      </c>
      <c r="H18" s="147" t="s">
        <v>62</v>
      </c>
      <c r="I18" s="261" t="s">
        <v>66</v>
      </c>
    </row>
    <row r="19" ht="42.75">
      <c r="A19" s="231"/>
      <c r="B19" s="258"/>
      <c r="C19" s="18">
        <v>2</v>
      </c>
      <c r="D19" s="232" t="s">
        <v>102</v>
      </c>
      <c r="E19" s="259">
        <v>0</v>
      </c>
      <c r="F19" s="236" t="s">
        <v>174</v>
      </c>
      <c r="G19" s="260" t="s">
        <v>176</v>
      </c>
      <c r="H19" s="147" t="s">
        <v>62</v>
      </c>
      <c r="I19" s="261" t="s">
        <v>66</v>
      </c>
    </row>
    <row r="20" ht="30">
      <c r="A20" s="231"/>
      <c r="B20" s="258"/>
      <c r="C20" s="18">
        <v>3</v>
      </c>
      <c r="D20" s="232" t="s">
        <v>104</v>
      </c>
      <c r="E20" s="234">
        <v>1</v>
      </c>
      <c r="F20" s="234" t="s">
        <v>30</v>
      </c>
      <c r="G20" s="262" t="s">
        <v>159</v>
      </c>
      <c r="H20" s="147" t="s">
        <v>62</v>
      </c>
      <c r="I20" s="261" t="s">
        <v>63</v>
      </c>
    </row>
    <row r="21" ht="57">
      <c r="A21" s="231"/>
      <c r="B21" s="258"/>
      <c r="C21" s="18">
        <v>4</v>
      </c>
      <c r="D21" s="232" t="s">
        <v>94</v>
      </c>
      <c r="E21" s="263">
        <v>0.13</v>
      </c>
      <c r="F21" s="263" t="s">
        <v>58</v>
      </c>
      <c r="G21" s="264" t="s">
        <v>177</v>
      </c>
      <c r="H21" s="19" t="s">
        <v>62</v>
      </c>
      <c r="I21" s="265" t="s">
        <v>66</v>
      </c>
    </row>
    <row r="22" ht="30">
      <c r="A22" s="231"/>
      <c r="B22" s="258"/>
      <c r="C22" s="18">
        <v>5</v>
      </c>
      <c r="D22" s="232" t="s">
        <v>65</v>
      </c>
      <c r="E22" s="259">
        <v>0</v>
      </c>
      <c r="F22" s="236" t="s">
        <v>174</v>
      </c>
      <c r="G22" s="232" t="s">
        <v>178</v>
      </c>
      <c r="H22" s="19" t="s">
        <v>62</v>
      </c>
      <c r="I22" s="229" t="s">
        <v>66</v>
      </c>
    </row>
    <row r="23" ht="42.75">
      <c r="A23" s="231"/>
      <c r="B23" s="258"/>
      <c r="C23" s="13">
        <v>6</v>
      </c>
      <c r="D23" s="239" t="s">
        <v>79</v>
      </c>
      <c r="E23" s="259">
        <v>0</v>
      </c>
      <c r="F23" s="236" t="s">
        <v>174</v>
      </c>
      <c r="G23" s="264" t="s">
        <v>179</v>
      </c>
      <c r="H23" s="19" t="s">
        <v>62</v>
      </c>
      <c r="I23" s="243" t="s">
        <v>63</v>
      </c>
    </row>
    <row r="24" ht="228">
      <c r="A24" s="231"/>
      <c r="B24" s="266"/>
      <c r="C24" s="13">
        <v>7</v>
      </c>
      <c r="D24" s="239" t="s">
        <v>100</v>
      </c>
      <c r="E24" s="234">
        <v>0.88</v>
      </c>
      <c r="F24" s="234" t="s">
        <v>30</v>
      </c>
      <c r="G24" s="260" t="s">
        <v>180</v>
      </c>
      <c r="H24" s="19" t="s">
        <v>62</v>
      </c>
      <c r="I24" s="243" t="s">
        <v>63</v>
      </c>
    </row>
    <row r="25" ht="57">
      <c r="A25" s="231"/>
      <c r="B25" s="267"/>
      <c r="C25" s="13">
        <v>8</v>
      </c>
      <c r="D25" s="206" t="s">
        <v>90</v>
      </c>
      <c r="E25" s="259">
        <v>0</v>
      </c>
      <c r="F25" s="236" t="s">
        <v>174</v>
      </c>
      <c r="G25" s="260" t="s">
        <v>181</v>
      </c>
      <c r="H25" s="19" t="s">
        <v>62</v>
      </c>
      <c r="I25" s="243" t="s">
        <v>70</v>
      </c>
    </row>
    <row r="26" ht="71.25">
      <c r="A26" s="231"/>
      <c r="B26" s="267"/>
      <c r="C26" s="13">
        <v>9</v>
      </c>
      <c r="D26" s="232" t="s">
        <v>98</v>
      </c>
      <c r="E26" s="234">
        <v>1</v>
      </c>
      <c r="F26" s="234" t="s">
        <v>30</v>
      </c>
      <c r="G26" s="229" t="s">
        <v>182</v>
      </c>
      <c r="H26" s="19" t="s">
        <v>62</v>
      </c>
      <c r="I26" s="243" t="s">
        <v>70</v>
      </c>
    </row>
    <row r="27" ht="42.75">
      <c r="A27" s="231"/>
      <c r="B27" s="267"/>
      <c r="C27" s="156">
        <v>10</v>
      </c>
      <c r="D27" s="260" t="s">
        <v>82</v>
      </c>
      <c r="E27" s="259">
        <v>0</v>
      </c>
      <c r="F27" s="236" t="s">
        <v>174</v>
      </c>
      <c r="G27" s="260" t="s">
        <v>179</v>
      </c>
      <c r="H27" s="19" t="s">
        <v>62</v>
      </c>
      <c r="I27" s="243" t="s">
        <v>66</v>
      </c>
    </row>
    <row r="28" ht="42.75">
      <c r="A28" s="231"/>
      <c r="B28" s="267"/>
      <c r="C28" s="156">
        <v>11</v>
      </c>
      <c r="D28" s="260" t="s">
        <v>69</v>
      </c>
      <c r="E28" s="259">
        <v>0</v>
      </c>
      <c r="F28" s="236" t="s">
        <v>174</v>
      </c>
      <c r="G28" s="260" t="s">
        <v>183</v>
      </c>
      <c r="H28" s="19" t="s">
        <v>62</v>
      </c>
      <c r="I28" s="243" t="s">
        <v>70</v>
      </c>
    </row>
    <row r="29" ht="30">
      <c r="A29" s="231"/>
      <c r="B29" s="267"/>
      <c r="C29" s="156">
        <v>12</v>
      </c>
      <c r="D29" s="260" t="s">
        <v>61</v>
      </c>
      <c r="E29" s="259">
        <v>0</v>
      </c>
      <c r="F29" s="236" t="s">
        <v>174</v>
      </c>
      <c r="G29" s="268" t="s">
        <v>178</v>
      </c>
      <c r="H29" s="19" t="s">
        <v>62</v>
      </c>
      <c r="I29" s="243" t="s">
        <v>70</v>
      </c>
    </row>
    <row r="30" ht="42.75">
      <c r="A30" s="231"/>
      <c r="B30" s="267"/>
      <c r="C30" s="156">
        <v>13</v>
      </c>
      <c r="D30" s="260" t="s">
        <v>67</v>
      </c>
      <c r="E30" s="259">
        <v>0</v>
      </c>
      <c r="F30" s="236" t="s">
        <v>174</v>
      </c>
      <c r="G30" s="260" t="s">
        <v>162</v>
      </c>
      <c r="H30" s="19" t="s">
        <v>62</v>
      </c>
      <c r="I30" s="269" t="s">
        <v>66</v>
      </c>
    </row>
    <row r="31" ht="42.75">
      <c r="A31" s="231"/>
      <c r="B31" s="267"/>
      <c r="C31" s="156">
        <v>14</v>
      </c>
      <c r="D31" s="260" t="s">
        <v>85</v>
      </c>
      <c r="E31" s="259">
        <v>0</v>
      </c>
      <c r="F31" s="236" t="s">
        <v>174</v>
      </c>
      <c r="G31" s="260" t="s">
        <v>184</v>
      </c>
      <c r="H31" s="19" t="s">
        <v>62</v>
      </c>
      <c r="I31" s="260" t="s">
        <v>70</v>
      </c>
    </row>
    <row r="32" ht="42.75">
      <c r="A32" s="231"/>
      <c r="B32" s="267"/>
      <c r="C32" s="156">
        <v>15</v>
      </c>
      <c r="D32" s="260" t="s">
        <v>185</v>
      </c>
      <c r="E32" s="259">
        <v>0</v>
      </c>
      <c r="F32" s="236" t="s">
        <v>174</v>
      </c>
      <c r="G32" s="260" t="s">
        <v>184</v>
      </c>
      <c r="H32" s="19" t="s">
        <v>62</v>
      </c>
      <c r="I32" s="269" t="s">
        <v>63</v>
      </c>
    </row>
    <row r="33" ht="42.75">
      <c r="A33" s="231"/>
      <c r="B33" s="267"/>
      <c r="C33" s="156">
        <v>16</v>
      </c>
      <c r="D33" s="260" t="s">
        <v>72</v>
      </c>
      <c r="E33" s="259">
        <v>0</v>
      </c>
      <c r="F33" s="236" t="s">
        <v>174</v>
      </c>
      <c r="G33" s="260" t="s">
        <v>179</v>
      </c>
      <c r="H33" s="19" t="s">
        <v>62</v>
      </c>
      <c r="I33" s="209" t="s">
        <v>66</v>
      </c>
    </row>
    <row r="34" ht="185.25">
      <c r="A34" s="231"/>
      <c r="B34" s="267"/>
      <c r="C34" s="156">
        <v>17</v>
      </c>
      <c r="D34" s="260" t="s">
        <v>88</v>
      </c>
      <c r="E34" s="270">
        <v>0.5</v>
      </c>
      <c r="F34" s="271" t="s">
        <v>24</v>
      </c>
      <c r="G34" s="260" t="s">
        <v>186</v>
      </c>
      <c r="H34" s="19" t="s">
        <v>62</v>
      </c>
      <c r="I34" s="209" t="s">
        <v>66</v>
      </c>
    </row>
    <row r="35" ht="42.75">
      <c r="A35" s="231"/>
      <c r="B35" s="267"/>
      <c r="C35" s="156">
        <v>18</v>
      </c>
      <c r="D35" s="260" t="s">
        <v>93</v>
      </c>
      <c r="E35" s="259">
        <v>0</v>
      </c>
      <c r="F35" s="236" t="s">
        <v>174</v>
      </c>
      <c r="G35" s="260" t="s">
        <v>187</v>
      </c>
      <c r="H35" s="19" t="s">
        <v>62</v>
      </c>
      <c r="I35" s="269" t="s">
        <v>66</v>
      </c>
    </row>
    <row r="36" ht="42.75">
      <c r="A36" s="231"/>
      <c r="B36" s="267"/>
      <c r="C36" s="156">
        <v>19</v>
      </c>
      <c r="D36" s="243" t="s">
        <v>80</v>
      </c>
      <c r="E36" s="259">
        <v>0</v>
      </c>
      <c r="F36" s="236" t="s">
        <v>174</v>
      </c>
      <c r="G36" s="260" t="s">
        <v>179</v>
      </c>
      <c r="H36" s="19" t="s">
        <v>62</v>
      </c>
      <c r="I36" s="269" t="s">
        <v>70</v>
      </c>
    </row>
    <row r="37" ht="42.75">
      <c r="A37" s="231"/>
      <c r="B37" s="267"/>
      <c r="C37" s="156">
        <v>20</v>
      </c>
      <c r="D37" s="260" t="s">
        <v>91</v>
      </c>
      <c r="E37" s="259">
        <v>0</v>
      </c>
      <c r="F37" s="236" t="s">
        <v>174</v>
      </c>
      <c r="G37" s="260" t="s">
        <v>188</v>
      </c>
      <c r="H37" s="19" t="s">
        <v>62</v>
      </c>
      <c r="I37" s="269" t="s">
        <v>66</v>
      </c>
    </row>
    <row r="38" ht="30">
      <c r="A38" s="231"/>
      <c r="B38" s="267"/>
      <c r="C38" s="156">
        <v>21</v>
      </c>
      <c r="D38" s="260" t="s">
        <v>92</v>
      </c>
      <c r="E38" s="259">
        <v>0</v>
      </c>
      <c r="F38" s="236" t="s">
        <v>174</v>
      </c>
      <c r="G38" s="260" t="s">
        <v>189</v>
      </c>
      <c r="H38" s="19" t="s">
        <v>62</v>
      </c>
      <c r="I38" s="209" t="s">
        <v>63</v>
      </c>
    </row>
    <row r="39" ht="42.75">
      <c r="A39" s="231"/>
      <c r="B39" s="267"/>
      <c r="C39" s="156">
        <v>22</v>
      </c>
      <c r="D39" s="243" t="s">
        <v>74</v>
      </c>
      <c r="E39" s="259">
        <v>0</v>
      </c>
      <c r="F39" s="236" t="s">
        <v>174</v>
      </c>
      <c r="G39" s="260" t="s">
        <v>190</v>
      </c>
      <c r="H39" s="19" t="s">
        <v>62</v>
      </c>
      <c r="I39" s="269" t="s">
        <v>63</v>
      </c>
    </row>
    <row r="40" ht="42.75">
      <c r="A40" s="231"/>
      <c r="B40" s="267"/>
      <c r="C40" s="156">
        <v>23</v>
      </c>
      <c r="D40" s="243" t="s">
        <v>84</v>
      </c>
      <c r="E40" s="259">
        <v>0</v>
      </c>
      <c r="F40" s="236" t="s">
        <v>174</v>
      </c>
      <c r="G40" s="260" t="s">
        <v>191</v>
      </c>
      <c r="H40" s="19" t="s">
        <v>62</v>
      </c>
      <c r="I40" s="269" t="s">
        <v>70</v>
      </c>
    </row>
    <row r="41" ht="71.25">
      <c r="A41" s="231"/>
      <c r="B41" s="267"/>
      <c r="C41" s="272">
        <v>24</v>
      </c>
      <c r="D41" s="260" t="s">
        <v>77</v>
      </c>
      <c r="E41" s="259">
        <v>0</v>
      </c>
      <c r="F41" s="236" t="s">
        <v>174</v>
      </c>
      <c r="G41" s="268" t="s">
        <v>184</v>
      </c>
      <c r="H41" s="19" t="s">
        <v>62</v>
      </c>
      <c r="I41" s="209" t="s">
        <v>70</v>
      </c>
    </row>
    <row r="42" ht="45">
      <c r="A42" s="231"/>
      <c r="B42" s="267"/>
      <c r="C42" s="272">
        <v>25</v>
      </c>
      <c r="D42" s="269" t="s">
        <v>76</v>
      </c>
      <c r="E42" s="259">
        <v>0</v>
      </c>
      <c r="F42" s="236" t="s">
        <v>174</v>
      </c>
      <c r="G42" s="268" t="s">
        <v>179</v>
      </c>
      <c r="H42" s="19" t="s">
        <v>62</v>
      </c>
      <c r="I42" s="269" t="s">
        <v>70</v>
      </c>
    </row>
    <row r="43" ht="45">
      <c r="A43" s="244"/>
      <c r="B43" s="273"/>
      <c r="C43" s="272">
        <v>26</v>
      </c>
      <c r="D43" s="269" t="s">
        <v>96</v>
      </c>
      <c r="E43" s="259">
        <v>0</v>
      </c>
      <c r="F43" s="236" t="s">
        <v>174</v>
      </c>
      <c r="G43" s="268" t="s">
        <v>192</v>
      </c>
      <c r="H43" s="272" t="s">
        <v>62</v>
      </c>
      <c r="I43" s="209" t="s">
        <v>66</v>
      </c>
    </row>
    <row r="44" ht="15">
      <c r="A44" s="274"/>
      <c r="B44" s="274"/>
      <c r="C44" s="274"/>
      <c r="D44" s="274"/>
      <c r="E44" s="275">
        <f>(E18+E19+E20+E21+E22+E23+E24+E25+E26+E27+E28+E29+E30+E31+E32+E33+E34+E35+E36+E37+E38+E39+E40+E41+E42+E43)/26</f>
        <v>0.13499999999999998</v>
      </c>
      <c r="F44" s="275"/>
      <c r="G44" s="274"/>
      <c r="H44" s="274"/>
      <c r="I44" s="274"/>
    </row>
    <row r="45" ht="15">
      <c r="A45" s="276" t="s">
        <v>193</v>
      </c>
      <c r="B45" s="277"/>
      <c r="C45" s="277"/>
      <c r="D45" s="276"/>
      <c r="E45" s="278"/>
      <c r="F45" s="278"/>
      <c r="G45" s="277"/>
      <c r="H45" s="277"/>
      <c r="I45" s="277"/>
    </row>
    <row r="46" ht="30">
      <c r="A46" s="176" t="s">
        <v>171</v>
      </c>
      <c r="B46" s="168" t="s">
        <v>132</v>
      </c>
      <c r="C46" s="169"/>
      <c r="D46" s="170"/>
      <c r="E46" s="279">
        <v>0.14000000000000001</v>
      </c>
      <c r="F46" s="280" t="s">
        <v>194</v>
      </c>
      <c r="G46" s="168" t="s">
        <v>195</v>
      </c>
      <c r="H46" s="169"/>
      <c r="I46" s="170"/>
    </row>
    <row r="47" ht="14.25">
      <c r="E47" s="105"/>
    </row>
    <row r="49" ht="14.25">
      <c r="A49" s="281"/>
      <c r="B49" s="281"/>
      <c r="C49" s="281"/>
      <c r="D49" s="281"/>
      <c r="E49" s="282"/>
      <c r="F49" s="283"/>
    </row>
    <row r="50" ht="14.25">
      <c r="A50" s="284"/>
      <c r="B50" s="281"/>
      <c r="C50" s="281"/>
      <c r="D50" s="281"/>
      <c r="E50" s="282"/>
      <c r="F50" s="283"/>
    </row>
    <row r="51" ht="14.25">
      <c r="A51" s="284"/>
      <c r="B51" s="281"/>
      <c r="C51" s="281"/>
      <c r="D51" s="281"/>
      <c r="E51" s="282"/>
      <c r="F51" s="283"/>
    </row>
    <row r="52" ht="14.25">
      <c r="A52" s="281"/>
      <c r="B52" s="281"/>
      <c r="C52" s="281"/>
      <c r="D52" s="281"/>
      <c r="E52" s="282"/>
      <c r="F52" s="283"/>
    </row>
    <row r="53" ht="14.25"/>
    <row r="54" ht="14.25"/>
  </sheetData>
  <mergeCells count="16">
    <mergeCell ref="A1:I1"/>
    <mergeCell ref="A2:B2"/>
    <mergeCell ref="C2:D2"/>
    <mergeCell ref="E2:F2"/>
    <mergeCell ref="A3:A11"/>
    <mergeCell ref="B3:B11"/>
    <mergeCell ref="B14:D14"/>
    <mergeCell ref="G14:I14"/>
    <mergeCell ref="A16:I16"/>
    <mergeCell ref="A17:B17"/>
    <mergeCell ref="C17:D17"/>
    <mergeCell ref="E17:F17"/>
    <mergeCell ref="A18:A43"/>
    <mergeCell ref="B24:B43"/>
    <mergeCell ref="B46:D46"/>
    <mergeCell ref="G46:I46"/>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7" text="Высокий уровень" id="{00CE0009-002C-4FCB-953C-005F008B002E}">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7" text="Высокий уровень" id="{0015003D-004B-4B32-AD41-008E00E900C1}">
            <xm:f>NOT(ISERROR(SEARCH("Высокий уровень",D9)))</xm:f>
            <x14:dxf>
              <fill>
                <patternFill patternType="solid">
                  <fgColor rgb="FF70AD47"/>
                  <bgColor rgb="FF70AD47"/>
                </patternFill>
              </fill>
            </x14:dxf>
          </x14:cfRule>
          <xm:sqref>F45</xm:sqref>
        </x14:conditionalFormatting>
        <x14:conditionalFormatting xmlns:xm="http://schemas.microsoft.com/office/excel/2006/main">
          <x14:cfRule type="containsText" priority="7" text="Высокий уровень" id="{00C2003D-0094-4EE1-8A83-000E00150073}">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3D008B-0045-490E-8342-0084003900CB}">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D7006A-00F7-4D16-9117-00EE00EA00D1}">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B80027-00AB-4144-8447-006D00F900E0}">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950064-00CB-4BCA-B158-008E003600C0}">
            <xm:f>NOT(ISERROR(SEARCH("Высокий уровень",D9)))</xm:f>
            <x14:dxf>
              <fill>
                <patternFill patternType="solid">
                  <fgColor rgb="FF70AD47"/>
                  <bgColor rgb="FF70AD47"/>
                </patternFill>
              </fill>
            </x14:dxf>
          </x14:cfRule>
          <xm:sqref>F45</xm:sqref>
        </x14:conditionalFormatting>
        <x14:conditionalFormatting xmlns:xm="http://schemas.microsoft.com/office/excel/2006/main">
          <x14:cfRule type="containsText" priority="6" text="Высокий уровень" id="{00FF004F-0021-4F2E-B4CB-009600E90004}">
            <xm:f>NOT(ISERROR(SEARCH("Высокий уровень",D9)))</xm:f>
            <x14:dxf>
              <fill>
                <patternFill patternType="solid">
                  <fgColor rgb="FF70AD47"/>
                  <bgColor rgb="FF70AD47"/>
                </patternFill>
              </fill>
            </x14:dxf>
          </x14:cfRule>
          <xm:sqref>F45</xm:sqref>
        </x14:conditionalFormatting>
        <x14:conditionalFormatting xmlns:xm="http://schemas.microsoft.com/office/excel/2006/main">
          <x14:cfRule type="containsText" priority="6" text="Выше среднего" id="{001500F8-0006-4234-9993-009B003D000B}">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D100FB-004F-4310-B2D9-0027006500FF}">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5800E5-00D7-4554-837B-007300890085}">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A700EE-00BA-419C-9F04-006B007B00C0}">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8F0041-00C0-4390-B4A7-00C8008A00F8}">
            <xm:f>NOT(ISERROR(SEARCH("Выше среднего",D9)))</xm:f>
            <x14:dxf>
              <fill>
                <patternFill patternType="solid">
                  <fgColor rgb="FFA9D08D"/>
                  <bgColor rgb="FFA9D08D"/>
                </patternFill>
              </fill>
            </x14:dxf>
          </x14:cfRule>
          <xm:sqref>F45</xm:sqref>
        </x14:conditionalFormatting>
        <x14:conditionalFormatting xmlns:xm="http://schemas.microsoft.com/office/excel/2006/main">
          <x14:cfRule type="containsText" priority="5" text="Выше среднего" id="{003D0007-00CE-43B8-B867-00D200690025}">
            <xm:f>NOT(ISERROR(SEARCH("Выше среднего",D9)))</xm:f>
            <x14:dxf>
              <fill>
                <patternFill patternType="solid">
                  <fgColor rgb="FFA9D08D"/>
                  <bgColor rgb="FFA9D08D"/>
                </patternFill>
              </fill>
            </x14:dxf>
          </x14:cfRule>
          <xm:sqref>F45</xm:sqref>
        </x14:conditionalFormatting>
        <x14:conditionalFormatting xmlns:xm="http://schemas.microsoft.com/office/excel/2006/main">
          <x14:cfRule type="containsText" priority="5" text="Средний уровень" id="{00120004-0071-4E51-8CC4-008C007A0057}">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22002F-00EF-4E2A-AE9B-0001006F00EC}">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DD0098-0090-46B7-910F-004E00F70079}">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9000EE-001A-4B39-B051-0013006B00F9}">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D800F7-0041-48EC-A61C-003C007A0094}">
            <xm:f>NOT(ISERROR(SEARCH("Средний уровень",D9)))</xm:f>
            <x14:dxf>
              <font>
                <color theme="1" tint="0"/>
              </font>
              <fill>
                <patternFill patternType="solid">
                  <fgColor indexed="5"/>
                  <bgColor indexed="5"/>
                </patternFill>
              </fill>
            </x14:dxf>
          </x14:cfRule>
          <xm:sqref>F45</xm:sqref>
        </x14:conditionalFormatting>
        <x14:conditionalFormatting xmlns:xm="http://schemas.microsoft.com/office/excel/2006/main">
          <x14:cfRule type="containsText" priority="4" text="Средний уровень" id="{006100FC-0090-40E8-8AC6-006100F800B0}">
            <xm:f>NOT(ISERROR(SEARCH("Средний уровень",D9)))</xm:f>
            <x14:dxf>
              <font>
                <color theme="1" tint="0"/>
              </font>
              <fill>
                <patternFill patternType="solid">
                  <fgColor indexed="5"/>
                  <bgColor indexed="5"/>
                </patternFill>
              </fill>
            </x14:dxf>
          </x14:cfRule>
          <xm:sqref>F45</xm:sqref>
        </x14:conditionalFormatting>
        <x14:conditionalFormatting xmlns:xm="http://schemas.microsoft.com/office/excel/2006/main">
          <x14:cfRule type="containsText" priority="4" text="Ниже среднего" id="{00D4001C-0003-47DB-898A-006B004B0088}">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DD0038-0073-4549-BB18-0085002F006E}">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6600B2-00BA-46B5-9EFF-00C3007400ED}">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2B00FC-003D-48A3-96D4-0040001300B3}">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D90037-0087-416B-9CA6-006B00670088}">
            <xm:f>NOT(ISERROR(SEARCH("Ниже среднего",D9)))</xm:f>
            <x14:dxf>
              <fill>
                <patternFill patternType="solid">
                  <fgColor rgb="FFED7D31"/>
                  <bgColor rgb="FFED7D31"/>
                </patternFill>
              </fill>
            </x14:dxf>
          </x14:cfRule>
          <xm:sqref>F45</xm:sqref>
        </x14:conditionalFormatting>
        <x14:conditionalFormatting xmlns:xm="http://schemas.microsoft.com/office/excel/2006/main">
          <x14:cfRule type="containsText" priority="3" text="Ниже среднего" id="{001C00DE-00B9-472F-80A9-008100BC00B7}">
            <xm:f>NOT(ISERROR(SEARCH("Ниже среднего",D9)))</xm:f>
            <x14:dxf>
              <fill>
                <patternFill patternType="solid">
                  <fgColor rgb="FFED7D31"/>
                  <bgColor rgb="FFED7D31"/>
                </patternFill>
              </fill>
            </x14:dxf>
          </x14:cfRule>
          <xm:sqref>F45</xm:sqref>
        </x14:conditionalFormatting>
        <x14:conditionalFormatting xmlns:xm="http://schemas.microsoft.com/office/excel/2006/main">
          <x14:cfRule type="containsText" priority="3" text="Низкий уровень" id="{000E0049-00A8-4A5B-BF7F-00F600A1002D}">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4E008A-00A6-48C6-89B3-00A9008900BB}">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330052-00E8-497C-9EA4-00B100F5000D}">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B900F0-0012-408C-9163-003400D300A4}">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49001D-00E5-458E-950E-009C00E600B3}">
            <xm:f>NOT(ISERROR(SEARCH("Низкий уровень",D9)))</xm:f>
            <x14:dxf>
              <fill>
                <patternFill patternType="solid">
                  <fgColor indexed="2"/>
                  <bgColor indexed="2"/>
                </patternFill>
              </fill>
            </x14:dxf>
          </x14:cfRule>
          <xm:sqref>F45</xm:sqref>
        </x14:conditionalFormatting>
        <x14:conditionalFormatting xmlns:xm="http://schemas.microsoft.com/office/excel/2006/main">
          <x14:cfRule type="containsText" priority="2" text="Низкий уровень" id="{007A0084-0031-476C-92C0-00A700C6006F}">
            <xm:f>NOT(ISERROR(SEARCH("Низкий уровень",D9)))</xm:f>
            <x14:dxf>
              <fill>
                <patternFill patternType="solid">
                  <fgColor indexed="2"/>
                  <bgColor indexed="2"/>
                </patternFill>
              </fill>
            </x14:dxf>
          </x14:cfRule>
          <xm:sqref>F45</xm:sqref>
        </x14:conditionalFormatting>
        <x14:conditionalFormatting xmlns:xm="http://schemas.microsoft.com/office/excel/2006/main">
          <x14:cfRule type="containsText" priority="2" text="Невозможно измерить" id="{00C200D6-0044-421E-8DCC-00F200350026}">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CF005D-0086-441C-ACD8-0096000A0017}">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4E0043-00FB-42DF-BA63-00DE00F9006C}">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4200A8-0007-431C-A383-008300EA00C1}">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F6001D-00BC-49DF-9C11-00E5009A003D}">
            <xm:f>NOT(ISERROR(SEARCH("Невозможно измерить",D9)))</xm:f>
            <x14:dxf>
              <fill>
                <patternFill patternType="solid">
                  <fgColor rgb="FF7F7F7F"/>
                  <bgColor rgb="FF7F7F7F"/>
                </patternFill>
              </fill>
            </x14:dxf>
          </x14:cfRule>
          <xm:sqref>F45</xm:sqref>
        </x14:conditionalFormatting>
        <x14:conditionalFormatting xmlns:xm="http://schemas.microsoft.com/office/excel/2006/main">
          <x14:cfRule type="containsText" priority="1" text="Невозможно измерить" id="{00A500B2-00F7-4639-902C-009A00B300C6}">
            <xm:f>NOT(ISERROR(SEARCH("Невозможно измерить",D9)))</xm:f>
            <x14:dxf>
              <fill>
                <patternFill patternType="solid">
                  <fgColor rgb="FF7F7F7F"/>
                  <bgColor rgb="FF7F7F7F"/>
                </patternFill>
              </fill>
            </x14:dxf>
          </x14:cfRule>
          <xm:sqref>F45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5" zoomScale="100" workbookViewId="0">
      <selection activeCell="A1" activeCellId="0" sqref="A1"/>
    </sheetView>
  </sheetViews>
  <sheetFormatPr defaultRowHeight="14.25"/>
  <cols>
    <col customWidth="1" min="1" max="1" width="18.7109375"/>
    <col customWidth="1" min="2" max="2" width="20.57421875"/>
    <col customWidth="1" min="3" max="3" width="4.57421875"/>
    <col customWidth="1" min="4" max="4" width="36.140625"/>
    <col customWidth="1" min="5" max="5" width="7.7109375"/>
    <col customWidth="1" min="6" max="6" width="13.8515625"/>
    <col customWidth="1" min="7" max="7" width="85.00390625"/>
    <col customWidth="1" min="8" max="8" width="10.421875"/>
    <col customWidth="1" min="9" max="9" style="215" width="19.7109375"/>
  </cols>
  <sheetData>
    <row r="1" ht="15">
      <c r="A1" s="216" t="s">
        <v>153</v>
      </c>
      <c r="B1" s="216"/>
      <c r="C1" s="216"/>
      <c r="D1" s="216"/>
      <c r="E1" s="216"/>
      <c r="F1" s="216"/>
      <c r="G1" s="216"/>
      <c r="H1" s="216"/>
      <c r="I1" s="216"/>
    </row>
    <row r="2" ht="62.25" customHeight="1">
      <c r="A2" s="285" t="s">
        <v>154</v>
      </c>
      <c r="B2" s="285" t="s">
        <v>127</v>
      </c>
      <c r="C2" s="285" t="s">
        <v>196</v>
      </c>
      <c r="D2" s="223" t="s">
        <v>155</v>
      </c>
      <c r="E2" s="223" t="s">
        <v>8</v>
      </c>
      <c r="F2" s="223"/>
      <c r="G2" s="223" t="s">
        <v>156</v>
      </c>
      <c r="H2" s="223" t="s">
        <v>157</v>
      </c>
      <c r="I2" s="223" t="s">
        <v>158</v>
      </c>
    </row>
    <row r="3" ht="303.75" customHeight="1">
      <c r="A3" s="225" t="s">
        <v>42</v>
      </c>
      <c r="B3" s="286" t="s">
        <v>197</v>
      </c>
      <c r="C3" s="19">
        <v>1</v>
      </c>
      <c r="D3" s="243" t="s">
        <v>29</v>
      </c>
      <c r="E3" s="287">
        <v>0.90000000000000002</v>
      </c>
      <c r="F3" s="288" t="s">
        <v>30</v>
      </c>
      <c r="G3" s="19" t="s">
        <v>198</v>
      </c>
      <c r="H3" s="19" t="s">
        <v>14</v>
      </c>
      <c r="I3" s="230" t="s">
        <v>15</v>
      </c>
    </row>
    <row r="4" ht="144.75" customHeight="1">
      <c r="A4" s="231"/>
      <c r="B4" s="289"/>
      <c r="C4" s="19">
        <v>2</v>
      </c>
      <c r="D4" s="243" t="s">
        <v>26</v>
      </c>
      <c r="E4" s="287">
        <v>1</v>
      </c>
      <c r="F4" s="287" t="s">
        <v>30</v>
      </c>
      <c r="G4" s="260" t="s">
        <v>199</v>
      </c>
      <c r="H4" s="19" t="s">
        <v>14</v>
      </c>
      <c r="I4" s="230" t="s">
        <v>15</v>
      </c>
    </row>
    <row r="5" ht="100.5" customHeight="1">
      <c r="A5" s="231"/>
      <c r="B5" s="289"/>
      <c r="C5" s="19">
        <v>3</v>
      </c>
      <c r="D5" s="243" t="s">
        <v>12</v>
      </c>
      <c r="E5" s="290">
        <v>0</v>
      </c>
      <c r="F5" s="290" t="s">
        <v>161</v>
      </c>
      <c r="G5" s="260" t="s">
        <v>200</v>
      </c>
      <c r="H5" s="19" t="s">
        <v>14</v>
      </c>
      <c r="I5" s="230" t="s">
        <v>15</v>
      </c>
    </row>
    <row r="6" ht="336" customHeight="1">
      <c r="A6" s="231"/>
      <c r="B6" s="289"/>
      <c r="C6" s="19">
        <v>4</v>
      </c>
      <c r="D6" s="260" t="s">
        <v>20</v>
      </c>
      <c r="E6" s="291">
        <v>0.22</v>
      </c>
      <c r="F6" s="158" t="s">
        <v>58</v>
      </c>
      <c r="G6" s="292" t="s">
        <v>201</v>
      </c>
      <c r="H6" s="19" t="s">
        <v>14</v>
      </c>
      <c r="I6" s="230" t="s">
        <v>15</v>
      </c>
    </row>
    <row r="7" ht="150">
      <c r="A7" s="231"/>
      <c r="B7" s="289"/>
      <c r="C7" s="19">
        <v>5</v>
      </c>
      <c r="D7" s="27" t="s">
        <v>23</v>
      </c>
      <c r="E7" s="293">
        <v>0.70999999999999996</v>
      </c>
      <c r="F7" s="293" t="s">
        <v>27</v>
      </c>
      <c r="G7" s="19" t="s">
        <v>202</v>
      </c>
      <c r="H7" s="19" t="s">
        <v>14</v>
      </c>
      <c r="I7" s="230" t="s">
        <v>15</v>
      </c>
    </row>
    <row r="8" ht="313.5" customHeight="1">
      <c r="A8" s="231"/>
      <c r="B8" s="289"/>
      <c r="C8" s="19">
        <v>6</v>
      </c>
      <c r="D8" s="243" t="s">
        <v>22</v>
      </c>
      <c r="E8" s="294">
        <v>0</v>
      </c>
      <c r="F8" s="295" t="s">
        <v>58</v>
      </c>
      <c r="G8" s="19" t="s">
        <v>203</v>
      </c>
      <c r="H8" s="19" t="s">
        <v>14</v>
      </c>
      <c r="I8" s="230" t="s">
        <v>15</v>
      </c>
    </row>
    <row r="9" ht="150">
      <c r="A9" s="231"/>
      <c r="B9" s="289"/>
      <c r="C9" s="19">
        <v>7</v>
      </c>
      <c r="D9" s="243" t="s">
        <v>19</v>
      </c>
      <c r="E9" s="296">
        <v>0.5</v>
      </c>
      <c r="F9" s="297" t="s">
        <v>24</v>
      </c>
      <c r="G9" s="19" t="s">
        <v>204</v>
      </c>
      <c r="H9" s="19" t="s">
        <v>14</v>
      </c>
      <c r="I9" s="230" t="s">
        <v>15</v>
      </c>
    </row>
    <row r="10" ht="255">
      <c r="A10" s="231"/>
      <c r="B10" s="289"/>
      <c r="C10" s="19">
        <v>8</v>
      </c>
      <c r="D10" s="243" t="s">
        <v>32</v>
      </c>
      <c r="E10" s="298">
        <v>0.67000000000000004</v>
      </c>
      <c r="F10" s="297" t="s">
        <v>27</v>
      </c>
      <c r="G10" s="19" t="s">
        <v>205</v>
      </c>
      <c r="H10" s="243" t="s">
        <v>168</v>
      </c>
      <c r="I10" s="230" t="s">
        <v>15</v>
      </c>
    </row>
    <row r="11" ht="120">
      <c r="A11" s="244"/>
      <c r="B11" s="299"/>
      <c r="C11" s="19">
        <v>9</v>
      </c>
      <c r="D11" s="243" t="s">
        <v>17</v>
      </c>
      <c r="E11" s="158">
        <v>0</v>
      </c>
      <c r="F11" s="295" t="s">
        <v>58</v>
      </c>
      <c r="G11" s="19" t="s">
        <v>206</v>
      </c>
      <c r="H11" s="19" t="s">
        <v>14</v>
      </c>
      <c r="I11" s="230" t="s">
        <v>15</v>
      </c>
    </row>
    <row r="12" ht="15">
      <c r="A12" s="300"/>
      <c r="B12" s="300"/>
      <c r="C12" s="300"/>
      <c r="D12" s="300"/>
      <c r="E12" s="301">
        <f>(E3+E4+E5+E6+E7+E8+E9+E10)/9</f>
        <v>0.44444444444444442</v>
      </c>
      <c r="F12" s="300"/>
      <c r="G12" s="300"/>
      <c r="H12" s="300"/>
      <c r="I12" s="275"/>
    </row>
    <row r="13" ht="23.25" customHeight="1">
      <c r="A13" s="302" t="s">
        <v>193</v>
      </c>
      <c r="B13" s="300"/>
      <c r="C13" s="300"/>
      <c r="D13" s="300"/>
      <c r="E13" s="300"/>
      <c r="F13" s="300"/>
      <c r="G13" s="300"/>
      <c r="H13" s="300"/>
      <c r="I13" s="275"/>
    </row>
    <row r="14" ht="51.75" customHeight="1">
      <c r="A14" s="156" t="s">
        <v>207</v>
      </c>
      <c r="B14" s="176" t="s">
        <v>197</v>
      </c>
      <c r="C14" s="176"/>
      <c r="D14" s="176"/>
      <c r="E14" s="303">
        <v>0.44</v>
      </c>
      <c r="F14" s="304" t="s">
        <v>24</v>
      </c>
      <c r="G14" s="168" t="s">
        <v>208</v>
      </c>
      <c r="H14" s="169"/>
      <c r="I14" s="170"/>
    </row>
    <row r="15" ht="14.25">
      <c r="I15" s="215"/>
    </row>
    <row r="16" ht="14.25">
      <c r="I16" s="215"/>
    </row>
    <row r="17" ht="14.25">
      <c r="I17" s="215"/>
    </row>
    <row r="18" ht="14.25">
      <c r="A18" s="305" t="s">
        <v>209</v>
      </c>
      <c r="B18" s="305"/>
      <c r="C18" s="305"/>
      <c r="D18" s="305"/>
      <c r="E18" s="305"/>
      <c r="F18" s="305"/>
      <c r="G18" s="305"/>
      <c r="H18" s="305"/>
      <c r="I18" s="305"/>
    </row>
    <row r="19" ht="45">
      <c r="A19" s="285" t="s">
        <v>154</v>
      </c>
      <c r="B19" s="285" t="s">
        <v>127</v>
      </c>
      <c r="C19" s="285" t="s">
        <v>196</v>
      </c>
      <c r="D19" s="223" t="s">
        <v>155</v>
      </c>
      <c r="E19" s="221" t="s">
        <v>8</v>
      </c>
      <c r="F19" s="222"/>
      <c r="G19" s="223" t="s">
        <v>156</v>
      </c>
      <c r="H19" s="223" t="s">
        <v>157</v>
      </c>
      <c r="I19" s="223" t="s">
        <v>158</v>
      </c>
    </row>
    <row r="20" ht="356.25">
      <c r="A20" s="225" t="s">
        <v>42</v>
      </c>
      <c r="B20" s="225" t="s">
        <v>197</v>
      </c>
      <c r="C20" s="19">
        <v>1</v>
      </c>
      <c r="D20" s="243" t="s">
        <v>173</v>
      </c>
      <c r="E20" s="306">
        <v>0.60999999999999999</v>
      </c>
      <c r="F20" s="306" t="s">
        <v>27</v>
      </c>
      <c r="G20" s="243" t="s">
        <v>210</v>
      </c>
      <c r="H20" s="19" t="s">
        <v>62</v>
      </c>
      <c r="I20" s="239" t="s">
        <v>66</v>
      </c>
    </row>
    <row r="21" ht="399">
      <c r="A21" s="231"/>
      <c r="B21" s="231"/>
      <c r="C21" s="19">
        <v>2</v>
      </c>
      <c r="D21" s="243" t="s">
        <v>211</v>
      </c>
      <c r="E21" s="287">
        <v>1</v>
      </c>
      <c r="F21" s="287" t="s">
        <v>30</v>
      </c>
      <c r="G21" s="264" t="s">
        <v>212</v>
      </c>
      <c r="H21" s="19" t="s">
        <v>62</v>
      </c>
      <c r="I21" s="261" t="s">
        <v>66</v>
      </c>
    </row>
    <row r="22" ht="65.25" customHeight="1">
      <c r="A22" s="231"/>
      <c r="B22" s="231"/>
      <c r="C22" s="19">
        <v>3</v>
      </c>
      <c r="D22" s="243" t="s">
        <v>104</v>
      </c>
      <c r="E22" s="287">
        <v>1</v>
      </c>
      <c r="F22" s="287" t="s">
        <v>30</v>
      </c>
      <c r="G22" s="264" t="s">
        <v>213</v>
      </c>
      <c r="H22" s="19" t="s">
        <v>62</v>
      </c>
      <c r="I22" s="261" t="s">
        <v>63</v>
      </c>
    </row>
    <row r="23" ht="42.75">
      <c r="A23" s="231"/>
      <c r="B23" s="231"/>
      <c r="C23" s="19">
        <v>4</v>
      </c>
      <c r="D23" s="243" t="s">
        <v>94</v>
      </c>
      <c r="E23" s="287">
        <v>0.81999999999999995</v>
      </c>
      <c r="F23" s="287" t="s">
        <v>30</v>
      </c>
      <c r="G23" s="264" t="s">
        <v>214</v>
      </c>
      <c r="H23" s="19" t="s">
        <v>62</v>
      </c>
      <c r="I23" s="307" t="s">
        <v>66</v>
      </c>
    </row>
    <row r="24" ht="41.25" customHeight="1">
      <c r="A24" s="231"/>
      <c r="B24" s="231"/>
      <c r="C24" s="19">
        <v>5</v>
      </c>
      <c r="D24" s="243" t="s">
        <v>65</v>
      </c>
      <c r="E24" s="290">
        <v>0</v>
      </c>
      <c r="F24" s="308" t="s">
        <v>161</v>
      </c>
      <c r="G24" s="243" t="s">
        <v>215</v>
      </c>
      <c r="H24" s="19" t="s">
        <v>62</v>
      </c>
      <c r="I24" s="239" t="s">
        <v>66</v>
      </c>
    </row>
    <row r="25" ht="42.75">
      <c r="A25" s="231"/>
      <c r="B25" s="231"/>
      <c r="C25" s="19">
        <v>6</v>
      </c>
      <c r="D25" s="309" t="s">
        <v>79</v>
      </c>
      <c r="E25" s="290">
        <v>0</v>
      </c>
      <c r="F25" s="308" t="s">
        <v>161</v>
      </c>
      <c r="G25" s="264" t="s">
        <v>216</v>
      </c>
      <c r="H25" s="19" t="s">
        <v>62</v>
      </c>
      <c r="I25" s="243" t="s">
        <v>63</v>
      </c>
    </row>
    <row r="26" ht="150">
      <c r="A26" s="231"/>
      <c r="B26" s="231"/>
      <c r="C26" s="19">
        <v>7</v>
      </c>
      <c r="D26" s="309" t="s">
        <v>100</v>
      </c>
      <c r="E26" s="287">
        <v>1</v>
      </c>
      <c r="F26" s="288" t="s">
        <v>30</v>
      </c>
      <c r="G26" s="19" t="s">
        <v>217</v>
      </c>
      <c r="H26" s="19" t="s">
        <v>62</v>
      </c>
      <c r="I26" s="243" t="s">
        <v>63</v>
      </c>
    </row>
    <row r="27" ht="71.25">
      <c r="A27" s="231"/>
      <c r="B27" s="231"/>
      <c r="C27" s="19">
        <v>8</v>
      </c>
      <c r="D27" s="206" t="s">
        <v>90</v>
      </c>
      <c r="E27" s="287">
        <v>1</v>
      </c>
      <c r="F27" s="288" t="s">
        <v>30</v>
      </c>
      <c r="G27" s="239" t="s">
        <v>218</v>
      </c>
      <c r="H27" s="19" t="s">
        <v>62</v>
      </c>
      <c r="I27" s="243" t="s">
        <v>70</v>
      </c>
    </row>
    <row r="28" ht="242.25">
      <c r="A28" s="231"/>
      <c r="B28" s="231"/>
      <c r="C28" s="19">
        <v>9</v>
      </c>
      <c r="D28" s="206" t="s">
        <v>98</v>
      </c>
      <c r="E28" s="287">
        <v>0.92000000000000004</v>
      </c>
      <c r="F28" s="310" t="s">
        <v>30</v>
      </c>
      <c r="G28" s="239" t="s">
        <v>219</v>
      </c>
      <c r="H28" s="19" t="s">
        <v>62</v>
      </c>
      <c r="I28" s="243" t="s">
        <v>70</v>
      </c>
    </row>
    <row r="29" ht="42.75">
      <c r="A29" s="231"/>
      <c r="B29" s="231"/>
      <c r="C29" s="19">
        <v>10</v>
      </c>
      <c r="D29" s="206" t="s">
        <v>82</v>
      </c>
      <c r="E29" s="290">
        <v>0</v>
      </c>
      <c r="F29" s="308" t="s">
        <v>161</v>
      </c>
      <c r="G29" s="239" t="s">
        <v>216</v>
      </c>
      <c r="H29" s="19" t="s">
        <v>62</v>
      </c>
      <c r="I29" s="243" t="s">
        <v>66</v>
      </c>
    </row>
    <row r="30" ht="42.75">
      <c r="A30" s="231"/>
      <c r="B30" s="231"/>
      <c r="C30" s="311">
        <v>11</v>
      </c>
      <c r="D30" s="82" t="s">
        <v>69</v>
      </c>
      <c r="E30" s="290">
        <v>0</v>
      </c>
      <c r="F30" s="308" t="s">
        <v>161</v>
      </c>
      <c r="G30" s="239" t="s">
        <v>216</v>
      </c>
      <c r="H30" s="19" t="s">
        <v>62</v>
      </c>
      <c r="I30" s="243" t="s">
        <v>70</v>
      </c>
    </row>
    <row r="31" ht="28.5">
      <c r="A31" s="231"/>
      <c r="B31" s="231"/>
      <c r="C31" s="311">
        <v>12</v>
      </c>
      <c r="D31" s="82" t="s">
        <v>61</v>
      </c>
      <c r="E31" s="290">
        <v>0</v>
      </c>
      <c r="F31" s="308" t="s">
        <v>161</v>
      </c>
      <c r="G31" s="82" t="s">
        <v>215</v>
      </c>
      <c r="H31" s="19" t="s">
        <v>62</v>
      </c>
      <c r="I31" s="243" t="s">
        <v>70</v>
      </c>
    </row>
    <row r="32" ht="28.5">
      <c r="A32" s="231"/>
      <c r="B32" s="231"/>
      <c r="C32" s="101">
        <v>13</v>
      </c>
      <c r="D32" s="205" t="s">
        <v>67</v>
      </c>
      <c r="E32" s="290">
        <v>0</v>
      </c>
      <c r="F32" s="308" t="s">
        <v>161</v>
      </c>
      <c r="G32" s="82" t="s">
        <v>162</v>
      </c>
      <c r="H32" s="19" t="s">
        <v>62</v>
      </c>
      <c r="I32" s="209" t="s">
        <v>66</v>
      </c>
    </row>
    <row r="33" s="46" customFormat="1" ht="42.75">
      <c r="A33" s="231"/>
      <c r="B33" s="231"/>
      <c r="C33" s="312">
        <v>14</v>
      </c>
      <c r="D33" s="313" t="s">
        <v>85</v>
      </c>
      <c r="E33" s="290">
        <v>0</v>
      </c>
      <c r="F33" s="308" t="s">
        <v>161</v>
      </c>
      <c r="G33" s="314" t="s">
        <v>220</v>
      </c>
      <c r="H33" s="19" t="s">
        <v>62</v>
      </c>
      <c r="I33" s="313" t="s">
        <v>70</v>
      </c>
    </row>
    <row r="34" s="46" customFormat="1" ht="42.75">
      <c r="A34" s="231"/>
      <c r="B34" s="231"/>
      <c r="C34" s="312">
        <v>15</v>
      </c>
      <c r="D34" s="313" t="s">
        <v>185</v>
      </c>
      <c r="E34" s="290">
        <v>0</v>
      </c>
      <c r="F34" s="308" t="s">
        <v>161</v>
      </c>
      <c r="G34" s="314" t="s">
        <v>220</v>
      </c>
      <c r="H34" s="19" t="s">
        <v>62</v>
      </c>
      <c r="I34" s="315" t="s">
        <v>63</v>
      </c>
    </row>
    <row r="35" s="46" customFormat="1" ht="28.5">
      <c r="A35" s="231"/>
      <c r="B35" s="231"/>
      <c r="C35" s="312">
        <v>16</v>
      </c>
      <c r="D35" s="313" t="s">
        <v>72</v>
      </c>
      <c r="E35" s="290">
        <v>0</v>
      </c>
      <c r="F35" s="308" t="s">
        <v>161</v>
      </c>
      <c r="G35" s="314" t="s">
        <v>179</v>
      </c>
      <c r="H35" s="19" t="s">
        <v>62</v>
      </c>
      <c r="I35" s="209" t="s">
        <v>66</v>
      </c>
    </row>
    <row r="36" s="46" customFormat="1" ht="128.25">
      <c r="A36" s="231"/>
      <c r="B36" s="231"/>
      <c r="C36" s="316">
        <v>17</v>
      </c>
      <c r="D36" s="313" t="s">
        <v>88</v>
      </c>
      <c r="E36" s="317">
        <v>0.5</v>
      </c>
      <c r="F36" s="318" t="s">
        <v>24</v>
      </c>
      <c r="G36" s="314" t="s">
        <v>221</v>
      </c>
      <c r="H36" s="19" t="s">
        <v>62</v>
      </c>
      <c r="I36" s="209" t="s">
        <v>66</v>
      </c>
    </row>
    <row r="37" ht="85.5">
      <c r="A37" s="231"/>
      <c r="B37" s="231"/>
      <c r="C37" s="68">
        <v>18</v>
      </c>
      <c r="D37" s="82" t="s">
        <v>93</v>
      </c>
      <c r="E37" s="319">
        <v>1</v>
      </c>
      <c r="F37" s="320" t="s">
        <v>30</v>
      </c>
      <c r="G37" s="82" t="s">
        <v>222</v>
      </c>
      <c r="H37" s="19" t="s">
        <v>62</v>
      </c>
      <c r="I37" s="209" t="s">
        <v>66</v>
      </c>
    </row>
    <row r="38" ht="57">
      <c r="A38" s="231"/>
      <c r="B38" s="231"/>
      <c r="C38" s="68">
        <v>19</v>
      </c>
      <c r="D38" s="82" t="s">
        <v>80</v>
      </c>
      <c r="E38" s="290">
        <v>0</v>
      </c>
      <c r="F38" s="308" t="s">
        <v>161</v>
      </c>
      <c r="G38" s="82" t="s">
        <v>223</v>
      </c>
      <c r="H38" s="19" t="s">
        <v>62</v>
      </c>
      <c r="I38" s="205" t="s">
        <v>70</v>
      </c>
    </row>
    <row r="39" ht="42.75">
      <c r="A39" s="231"/>
      <c r="B39" s="231"/>
      <c r="C39" s="68">
        <v>20</v>
      </c>
      <c r="D39" s="82" t="s">
        <v>91</v>
      </c>
      <c r="E39" s="290">
        <v>0</v>
      </c>
      <c r="F39" s="308" t="s">
        <v>161</v>
      </c>
      <c r="G39" s="82" t="s">
        <v>224</v>
      </c>
      <c r="H39" s="19" t="s">
        <v>62</v>
      </c>
      <c r="I39" s="209" t="s">
        <v>66</v>
      </c>
    </row>
    <row r="40" ht="156.75">
      <c r="A40" s="231"/>
      <c r="B40" s="231"/>
      <c r="C40" s="68">
        <v>21</v>
      </c>
      <c r="D40" s="205" t="s">
        <v>92</v>
      </c>
      <c r="E40" s="321">
        <v>0.75</v>
      </c>
      <c r="F40" s="322" t="s">
        <v>27</v>
      </c>
      <c r="G40" s="82" t="s">
        <v>225</v>
      </c>
      <c r="H40" s="19" t="s">
        <v>62</v>
      </c>
      <c r="I40" s="209" t="s">
        <v>63</v>
      </c>
    </row>
    <row r="41" ht="42.75">
      <c r="A41" s="231"/>
      <c r="B41" s="231"/>
      <c r="C41" s="68">
        <v>22</v>
      </c>
      <c r="D41" s="82" t="s">
        <v>74</v>
      </c>
      <c r="E41" s="290">
        <v>0</v>
      </c>
      <c r="F41" s="308" t="s">
        <v>161</v>
      </c>
      <c r="G41" s="82" t="s">
        <v>226</v>
      </c>
      <c r="H41" s="19" t="s">
        <v>62</v>
      </c>
      <c r="I41" s="205" t="s">
        <v>63</v>
      </c>
    </row>
    <row r="42" ht="42.75">
      <c r="A42" s="231"/>
      <c r="B42" s="231"/>
      <c r="C42" s="68">
        <v>23</v>
      </c>
      <c r="D42" s="82" t="s">
        <v>84</v>
      </c>
      <c r="E42" s="290">
        <v>0</v>
      </c>
      <c r="F42" s="308" t="s">
        <v>161</v>
      </c>
      <c r="G42" s="82" t="s">
        <v>227</v>
      </c>
      <c r="H42" s="68" t="s">
        <v>62</v>
      </c>
      <c r="I42" s="205" t="s">
        <v>70</v>
      </c>
    </row>
    <row r="43" ht="85.5">
      <c r="A43" s="231"/>
      <c r="B43" s="231"/>
      <c r="C43" s="68">
        <v>24</v>
      </c>
      <c r="D43" s="82" t="s">
        <v>77</v>
      </c>
      <c r="E43" s="290">
        <v>0</v>
      </c>
      <c r="F43" s="308" t="s">
        <v>161</v>
      </c>
      <c r="G43" s="205" t="s">
        <v>220</v>
      </c>
      <c r="H43" s="19" t="s">
        <v>62</v>
      </c>
      <c r="I43" s="205" t="s">
        <v>70</v>
      </c>
    </row>
    <row r="44" ht="28.5">
      <c r="A44" s="231"/>
      <c r="B44" s="231"/>
      <c r="C44" s="68">
        <v>25</v>
      </c>
      <c r="D44" s="68" t="s">
        <v>76</v>
      </c>
      <c r="E44" s="290">
        <v>0</v>
      </c>
      <c r="F44" s="308" t="s">
        <v>161</v>
      </c>
      <c r="G44" s="82" t="s">
        <v>179</v>
      </c>
      <c r="H44" s="19" t="s">
        <v>62</v>
      </c>
      <c r="I44" s="205" t="s">
        <v>70</v>
      </c>
    </row>
    <row r="45" ht="28.5">
      <c r="A45" s="244"/>
      <c r="B45" s="244"/>
      <c r="C45" s="68">
        <v>26</v>
      </c>
      <c r="D45" s="82" t="s">
        <v>96</v>
      </c>
      <c r="E45" s="319">
        <v>1</v>
      </c>
      <c r="F45" s="320" t="s">
        <v>30</v>
      </c>
      <c r="G45" s="82" t="s">
        <v>228</v>
      </c>
      <c r="H45" s="19" t="s">
        <v>62</v>
      </c>
      <c r="I45" s="209" t="s">
        <v>66</v>
      </c>
    </row>
    <row r="46" ht="14.25">
      <c r="E46" s="323">
        <f>(E20+E21+E22+E24+E25+E26+E27+E28+E29+E30+E31+E32+E33+E34+E35+E36+E37+E38++E39+E40+E41+E42+E43+E44+E45)/26</f>
        <v>0.33769230769230768</v>
      </c>
      <c r="I46" s="215"/>
    </row>
    <row r="47" ht="15">
      <c r="A47" s="324" t="s">
        <v>193</v>
      </c>
      <c r="B47" s="325"/>
      <c r="C47" s="325"/>
      <c r="D47" s="325"/>
      <c r="E47" s="325"/>
      <c r="F47" s="325"/>
      <c r="G47" s="325"/>
      <c r="H47" s="325"/>
      <c r="I47" s="278"/>
    </row>
    <row r="48" ht="56.25" customHeight="1">
      <c r="A48" s="156" t="s">
        <v>207</v>
      </c>
      <c r="B48" s="168" t="s">
        <v>197</v>
      </c>
      <c r="C48" s="169"/>
      <c r="D48" s="170"/>
      <c r="E48" s="326">
        <v>0.34000000000000002</v>
      </c>
      <c r="F48" s="327" t="s">
        <v>115</v>
      </c>
      <c r="G48" s="168" t="s">
        <v>229</v>
      </c>
      <c r="H48" s="169"/>
      <c r="I48" s="170"/>
    </row>
    <row r="49" ht="14.25"/>
    <row r="50" ht="14.25"/>
  </sheetData>
  <mergeCells count="12">
    <mergeCell ref="A1:I1"/>
    <mergeCell ref="E2:F2"/>
    <mergeCell ref="A3:A11"/>
    <mergeCell ref="B3:B11"/>
    <mergeCell ref="B14:D14"/>
    <mergeCell ref="G14:I14"/>
    <mergeCell ref="A18:I18"/>
    <mergeCell ref="E19:F19"/>
    <mergeCell ref="A20:A45"/>
    <mergeCell ref="B20:B45"/>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4D001D-00E2-468B-AF94-009F009000F0}">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E5002B-0023-46A8-9049-007B00A100CD}">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930093-005E-40CD-8482-0040001100BD}">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1400F0-0029-4D24-BE06-0076002D0011}">
            <xm:f>NOT(ISERROR(SEARCH("Высокий уровень",D9)))</xm:f>
            <x14:dxf>
              <fill>
                <patternFill patternType="solid">
                  <fgColor rgb="FF70AD47"/>
                  <bgColor rgb="FF70AD47"/>
                </patternFill>
              </fill>
            </x14:dxf>
          </x14:cfRule>
          <xm:sqref>F17</xm:sqref>
        </x14:conditionalFormatting>
        <x14:conditionalFormatting xmlns:xm="http://schemas.microsoft.com/office/excel/2006/main">
          <x14:cfRule type="containsText" priority="6" text="Высокий уровень" id="{003F0092-0001-4572-8D1A-00E4009000B9}">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ED0030-0054-4E30-AA13-0028000D00A2}">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E000C5-001D-40CF-9186-008A00710065}">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1E0082-001C-4265-A1E6-002B003C004A}">
            <xm:f>NOT(ISERROR(SEARCH("Высокий уровень",D9)))</xm:f>
            <x14:dxf>
              <fill>
                <patternFill patternType="solid">
                  <fgColor rgb="FF70AD47"/>
                  <bgColor rgb="FF70AD47"/>
                </patternFill>
              </fill>
            </x14:dxf>
          </x14:cfRule>
          <xm:sqref>F47</xm:sqref>
        </x14:conditionalFormatting>
        <x14:conditionalFormatting xmlns:xm="http://schemas.microsoft.com/office/excel/2006/main">
          <x14:cfRule type="containsText" priority="6" text="Высокий уровень" id="{000A005E-00F5-4D68-97E7-0063006600AC}">
            <xm:f>NOT(ISERROR(SEARCH("Высокий уровень",D9)))</xm:f>
            <x14:dxf>
              <fill>
                <patternFill patternType="solid">
                  <fgColor rgb="FF70AD47"/>
                  <bgColor rgb="FF70AD47"/>
                </patternFill>
              </fill>
            </x14:dxf>
          </x14:cfRule>
          <xm:sqref>F47</xm:sqref>
        </x14:conditionalFormatting>
        <x14:conditionalFormatting xmlns:xm="http://schemas.microsoft.com/office/excel/2006/main">
          <x14:cfRule type="containsText" priority="5" text="Выше среднего" id="{003F0020-0086-41DA-8962-005500860002}">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1100A6-0037-4AC7-827F-007100AA00F7}">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9A00F6-0001-43EE-9A37-007F00D20073}">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5200DA-0016-464F-9CEC-00B8005A0068}">
            <xm:f>NOT(ISERROR(SEARCH("Выше среднего",D9)))</xm:f>
            <x14:dxf>
              <fill>
                <patternFill patternType="solid">
                  <fgColor rgb="FFA9D08D"/>
                  <bgColor rgb="FFA9D08D"/>
                </patternFill>
              </fill>
            </x14:dxf>
          </x14:cfRule>
          <xm:sqref>F17</xm:sqref>
        </x14:conditionalFormatting>
        <x14:conditionalFormatting xmlns:xm="http://schemas.microsoft.com/office/excel/2006/main">
          <x14:cfRule type="containsText" priority="5" text="Выше среднего" id="{00AD00B7-00A4-4CB6-8CB7-00840030009D}">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D20026-0019-455F-AA42-00730028004E}">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0F0073-00A1-4CA7-BA76-00AA00A500EB}">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DF009C-00B9-4C42-A495-00DF002C00FB}">
            <xm:f>NOT(ISERROR(SEARCH("Выше среднего",D9)))</xm:f>
            <x14:dxf>
              <fill>
                <patternFill patternType="solid">
                  <fgColor rgb="FFA9D08D"/>
                  <bgColor rgb="FFA9D08D"/>
                </patternFill>
              </fill>
            </x14:dxf>
          </x14:cfRule>
          <xm:sqref>F47</xm:sqref>
        </x14:conditionalFormatting>
        <x14:conditionalFormatting xmlns:xm="http://schemas.microsoft.com/office/excel/2006/main">
          <x14:cfRule type="containsText" priority="5" text="Выше среднего" id="{0014004C-000E-4AC5-8994-0057002100E9}">
            <xm:f>NOT(ISERROR(SEARCH("Выше среднего",D9)))</xm:f>
            <x14:dxf>
              <fill>
                <patternFill patternType="solid">
                  <fgColor rgb="FFA9D08D"/>
                  <bgColor rgb="FFA9D08D"/>
                </patternFill>
              </fill>
            </x14:dxf>
          </x14:cfRule>
          <xm:sqref>F47</xm:sqref>
        </x14:conditionalFormatting>
        <x14:conditionalFormatting xmlns:xm="http://schemas.microsoft.com/office/excel/2006/main">
          <x14:cfRule type="containsText" priority="4" text="Средний уровень" id="{00C40068-0050-49D9-B7AF-002900BF0036}">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AF00AB-0011-41B4-875B-009E001300F5}">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2D005F-0096-4C44-A6D0-00F9008A003D}">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FB0090-0019-48C4-9D5B-00CD00B600B7}">
            <xm:f>NOT(ISERROR(SEARCH("Средний уровень",D9)))</xm:f>
            <x14:dxf>
              <font>
                <color theme="1" tint="0"/>
              </font>
              <fill>
                <patternFill patternType="solid">
                  <fgColor indexed="5"/>
                  <bgColor indexed="5"/>
                </patternFill>
              </fill>
            </x14:dxf>
          </x14:cfRule>
          <xm:sqref>F17</xm:sqref>
        </x14:conditionalFormatting>
        <x14:conditionalFormatting xmlns:xm="http://schemas.microsoft.com/office/excel/2006/main">
          <x14:cfRule type="containsText" priority="4" text="Средний уровень" id="{00FF0076-00F9-430A-91A3-009100BA00D9}">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63006F-0047-4926-8097-009C0014000C}">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B60043-0043-4EFF-B632-00E3006900D2}">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0300B9-00C3-402A-A00E-0032001000F9}">
            <xm:f>NOT(ISERROR(SEARCH("Средний уровень",D9)))</xm:f>
            <x14:dxf>
              <font>
                <color theme="1" tint="0"/>
              </font>
              <fill>
                <patternFill patternType="solid">
                  <fgColor indexed="5"/>
                  <bgColor indexed="5"/>
                </patternFill>
              </fill>
            </x14:dxf>
          </x14:cfRule>
          <xm:sqref>F47</xm:sqref>
        </x14:conditionalFormatting>
        <x14:conditionalFormatting xmlns:xm="http://schemas.microsoft.com/office/excel/2006/main">
          <x14:cfRule type="containsText" priority="4" text="Средний уровень" id="{00500086-002B-4543-BE3E-00B5004A007D}">
            <xm:f>NOT(ISERROR(SEARCH("Средний уровень",D9)))</xm:f>
            <x14:dxf>
              <font>
                <color theme="1" tint="0"/>
              </font>
              <fill>
                <patternFill patternType="solid">
                  <fgColor indexed="5"/>
                  <bgColor indexed="5"/>
                </patternFill>
              </fill>
            </x14:dxf>
          </x14:cfRule>
          <xm:sqref>F47</xm:sqref>
        </x14:conditionalFormatting>
        <x14:conditionalFormatting xmlns:xm="http://schemas.microsoft.com/office/excel/2006/main">
          <x14:cfRule type="containsText" priority="3" text="Ниже среднего" id="{003C00C9-0080-406A-8190-001000220040}">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E9009E-0095-48F0-B6C2-005200AD00E9}">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1000D3-0060-4393-8042-00A700D000A6}">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F3003E-001E-4EB3-BA69-0097008800AA}">
            <xm:f>NOT(ISERROR(SEARCH("Ниже среднего",D9)))</xm:f>
            <x14:dxf>
              <fill>
                <patternFill patternType="solid">
                  <fgColor rgb="FFED7D31"/>
                  <bgColor rgb="FFED7D31"/>
                </patternFill>
              </fill>
            </x14:dxf>
          </x14:cfRule>
          <xm:sqref>F17</xm:sqref>
        </x14:conditionalFormatting>
        <x14:conditionalFormatting xmlns:xm="http://schemas.microsoft.com/office/excel/2006/main">
          <x14:cfRule type="containsText" priority="3" text="Ниже среднего" id="{00B700E6-0023-4ACE-937D-0059004E0040}">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7400A9-003D-49CE-8C00-009F003800D0}">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5C00B2-0017-4AB1-934E-00440051000E}">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A80046-0088-4667-B72A-004A0049009F}">
            <xm:f>NOT(ISERROR(SEARCH("Ниже среднего",D9)))</xm:f>
            <x14:dxf>
              <fill>
                <patternFill patternType="solid">
                  <fgColor rgb="FFED7D31"/>
                  <bgColor rgb="FFED7D31"/>
                </patternFill>
              </fill>
            </x14:dxf>
          </x14:cfRule>
          <xm:sqref>F47</xm:sqref>
        </x14:conditionalFormatting>
        <x14:conditionalFormatting xmlns:xm="http://schemas.microsoft.com/office/excel/2006/main">
          <x14:cfRule type="containsText" priority="3" text="Ниже среднего" id="{0092005C-0039-48C2-960D-0052009F00D6}">
            <xm:f>NOT(ISERROR(SEARCH("Ниже среднего",D9)))</xm:f>
            <x14:dxf>
              <fill>
                <patternFill patternType="solid">
                  <fgColor rgb="FFED7D31"/>
                  <bgColor rgb="FFED7D31"/>
                </patternFill>
              </fill>
            </x14:dxf>
          </x14:cfRule>
          <xm:sqref>F47</xm:sqref>
        </x14:conditionalFormatting>
        <x14:conditionalFormatting xmlns:xm="http://schemas.microsoft.com/office/excel/2006/main">
          <x14:cfRule type="containsText" priority="2" text="Низкий уровень" id="{004700B3-00FC-4339-8A3F-005200FC0071}">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AD005A-009B-4C0E-98CB-00E900F7004D}">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0300F4-0046-462C-B071-000000A400E4}">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F1003A-0004-487F-A6A0-00A8004600E5}">
            <xm:f>NOT(ISERROR(SEARCH("Низкий уровень",D9)))</xm:f>
            <x14:dxf>
              <fill>
                <patternFill patternType="solid">
                  <fgColor indexed="2"/>
                  <bgColor indexed="2"/>
                </patternFill>
              </fill>
            </x14:dxf>
          </x14:cfRule>
          <xm:sqref>F17</xm:sqref>
        </x14:conditionalFormatting>
        <x14:conditionalFormatting xmlns:xm="http://schemas.microsoft.com/office/excel/2006/main">
          <x14:cfRule type="containsText" priority="2" text="Низкий уровень" id="{00D60081-00E4-4689-8FF5-0030008D0000}">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EA0097-002F-4B05-97AD-00D4006A00DB}">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C30003-002A-44DD-8BC5-0036009700D3}">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B000E1-00A5-42AF-96FE-006B00AB0070}">
            <xm:f>NOT(ISERROR(SEARCH("Низкий уровень",D9)))</xm:f>
            <x14:dxf>
              <fill>
                <patternFill patternType="solid">
                  <fgColor indexed="2"/>
                  <bgColor indexed="2"/>
                </patternFill>
              </fill>
            </x14:dxf>
          </x14:cfRule>
          <xm:sqref>F47</xm:sqref>
        </x14:conditionalFormatting>
        <x14:conditionalFormatting xmlns:xm="http://schemas.microsoft.com/office/excel/2006/main">
          <x14:cfRule type="containsText" priority="2" text="Низкий уровень" id="{00D10091-006B-41F5-8A93-00EA00110032}">
            <xm:f>NOT(ISERROR(SEARCH("Низкий уровень",D9)))</xm:f>
            <x14:dxf>
              <fill>
                <patternFill patternType="solid">
                  <fgColor indexed="2"/>
                  <bgColor indexed="2"/>
                </patternFill>
              </fill>
            </x14:dxf>
          </x14:cfRule>
          <xm:sqref>F47</xm:sqref>
        </x14:conditionalFormatting>
        <x14:conditionalFormatting xmlns:xm="http://schemas.microsoft.com/office/excel/2006/main">
          <x14:cfRule type="containsText" priority="1" text="Невозможно измерить" id="{006800C5-0052-4395-8AE4-00BB006600D6}">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96008A-006B-4725-9A13-006800FB00EA}">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CD0076-0067-4E9B-B66B-008600F50016}">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A1003F-001A-49CB-B891-008900600078}">
            <xm:f>NOT(ISERROR(SEARCH("Невозможно измерить",D9)))</xm:f>
            <x14:dxf>
              <fill>
                <patternFill patternType="solid">
                  <fgColor rgb="FF7F7F7F"/>
                  <bgColor rgb="FF7F7F7F"/>
                </patternFill>
              </fill>
            </x14:dxf>
          </x14:cfRule>
          <xm:sqref>F16</xm:sqref>
        </x14:conditionalFormatting>
        <x14:conditionalFormatting xmlns:xm="http://schemas.microsoft.com/office/excel/2006/main">
          <x14:cfRule type="containsText" priority="1" text="Невозможно измерить" id="{0036007E-0042-494C-99A4-007D00FA0080}">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6800F9-0088-4F52-9372-00FE00E6003E}">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5F00E6-00A4-4BE6-8B25-002E007F007E}">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0A0071-000C-488A-A441-00CD006F0004}">
            <xm:f>NOT(ISERROR(SEARCH("Невозможно измерить",D9)))</xm:f>
            <x14:dxf>
              <fill>
                <patternFill patternType="solid">
                  <fgColor rgb="FF7F7F7F"/>
                  <bgColor rgb="FF7F7F7F"/>
                </patternFill>
              </fill>
            </x14:dxf>
          </x14:cfRule>
          <xm:sqref>F47</xm:sqref>
        </x14:conditionalFormatting>
        <x14:conditionalFormatting xmlns:xm="http://schemas.microsoft.com/office/excel/2006/main">
          <x14:cfRule type="containsText" priority="1" text="Невозможно измерить" id="{006F0089-009E-4331-8734-002000EE0006}">
            <xm:f>NOT(ISERROR(SEARCH("Невозможно измерить",D9)))</xm:f>
            <x14:dxf>
              <fill>
                <patternFill patternType="solid">
                  <fgColor rgb="FF7F7F7F"/>
                  <bgColor rgb="FF7F7F7F"/>
                </patternFill>
              </fill>
            </x14:dxf>
          </x14:cfRule>
          <xm:sqref>F47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3" zoomScale="100" workbookViewId="0">
      <selection activeCell="A1" activeCellId="0" sqref="A1"/>
    </sheetView>
  </sheetViews>
  <sheetFormatPr defaultRowHeight="14.25"/>
  <cols>
    <col customWidth="1" min="1" max="1" width="19.57421875"/>
    <col customWidth="1" min="2" max="2" width="15.140625"/>
    <col customWidth="1" min="3" max="3" width="4.57421875"/>
    <col customWidth="1" min="4" max="4" width="24.421875"/>
    <col customWidth="1" min="5" max="5" width="11.00390625"/>
    <col customWidth="1" min="6" max="6" width="23.140625"/>
    <col customWidth="1" min="7" max="7" width="51.140625"/>
    <col min="8" max="8" style="215" width="9.140625"/>
    <col customWidth="1" min="9" max="9" style="215" width="19.7109375"/>
    <col customWidth="1" min="10" max="10" width="30.00390625"/>
  </cols>
  <sheetData>
    <row r="1" ht="15">
      <c r="A1" s="216" t="s">
        <v>153</v>
      </c>
      <c r="B1" s="216"/>
      <c r="C1" s="216"/>
      <c r="D1" s="216"/>
      <c r="E1" s="216"/>
      <c r="F1" s="216"/>
      <c r="G1" s="216"/>
      <c r="H1" s="216"/>
      <c r="I1" s="216"/>
    </row>
    <row r="2" ht="54.75" customHeight="1">
      <c r="A2" s="328" t="s">
        <v>154</v>
      </c>
      <c r="B2" s="329" t="s">
        <v>127</v>
      </c>
      <c r="C2" s="329" t="s">
        <v>196</v>
      </c>
      <c r="D2" s="329" t="s">
        <v>6</v>
      </c>
      <c r="E2" s="330" t="s">
        <v>8</v>
      </c>
      <c r="F2" s="331"/>
      <c r="G2" s="332" t="s">
        <v>156</v>
      </c>
      <c r="H2" s="333" t="s">
        <v>230</v>
      </c>
      <c r="I2" s="334" t="s">
        <v>158</v>
      </c>
    </row>
    <row r="3" ht="67.5" customHeight="1">
      <c r="A3" s="335" t="s">
        <v>231</v>
      </c>
      <c r="B3" s="225" t="s">
        <v>232</v>
      </c>
      <c r="C3" s="230">
        <v>1</v>
      </c>
      <c r="D3" s="229" t="s">
        <v>29</v>
      </c>
      <c r="E3" s="336">
        <v>1</v>
      </c>
      <c r="F3" s="287" t="s">
        <v>30</v>
      </c>
      <c r="G3" s="264" t="s">
        <v>233</v>
      </c>
      <c r="H3" s="147" t="s">
        <v>14</v>
      </c>
      <c r="I3" s="261" t="s">
        <v>15</v>
      </c>
      <c r="J3" s="337"/>
    </row>
    <row r="4" ht="81" customHeight="1">
      <c r="A4" s="338"/>
      <c r="B4" s="231"/>
      <c r="C4" s="230">
        <v>2</v>
      </c>
      <c r="D4" s="229" t="s">
        <v>26</v>
      </c>
      <c r="E4" s="339">
        <v>0.76000000000000001</v>
      </c>
      <c r="F4" s="340" t="s">
        <v>27</v>
      </c>
      <c r="G4" s="264" t="s">
        <v>234</v>
      </c>
      <c r="H4" s="147" t="s">
        <v>14</v>
      </c>
      <c r="I4" s="261" t="s">
        <v>15</v>
      </c>
    </row>
    <row r="5" ht="60.75" customHeight="1">
      <c r="A5" s="338"/>
      <c r="B5" s="231"/>
      <c r="C5" s="230">
        <v>3</v>
      </c>
      <c r="D5" s="229" t="s">
        <v>12</v>
      </c>
      <c r="E5" s="341">
        <v>0</v>
      </c>
      <c r="F5" s="290" t="s">
        <v>161</v>
      </c>
      <c r="G5" s="264" t="s">
        <v>235</v>
      </c>
      <c r="H5" s="147" t="s">
        <v>14</v>
      </c>
      <c r="I5" s="261" t="s">
        <v>15</v>
      </c>
    </row>
    <row r="6" ht="68.25" customHeight="1">
      <c r="A6" s="338"/>
      <c r="B6" s="231"/>
      <c r="C6" s="230">
        <v>4</v>
      </c>
      <c r="D6" s="238" t="s">
        <v>20</v>
      </c>
      <c r="E6" s="341">
        <v>0</v>
      </c>
      <c r="F6" s="290" t="s">
        <v>161</v>
      </c>
      <c r="G6" s="342" t="s">
        <v>236</v>
      </c>
      <c r="H6" s="147" t="s">
        <v>14</v>
      </c>
      <c r="I6" s="261" t="s">
        <v>15</v>
      </c>
    </row>
    <row r="7" ht="88.5" customHeight="1">
      <c r="A7" s="338"/>
      <c r="B7" s="231"/>
      <c r="C7" s="230">
        <v>5</v>
      </c>
      <c r="D7" s="27" t="s">
        <v>23</v>
      </c>
      <c r="E7" s="341">
        <v>0</v>
      </c>
      <c r="F7" s="290" t="s">
        <v>161</v>
      </c>
      <c r="G7" s="343" t="s">
        <v>237</v>
      </c>
      <c r="H7" s="147" t="s">
        <v>14</v>
      </c>
      <c r="I7" s="261" t="s">
        <v>15</v>
      </c>
    </row>
    <row r="8" ht="112.5" customHeight="1">
      <c r="A8" s="338"/>
      <c r="B8" s="231"/>
      <c r="C8" s="230">
        <v>6</v>
      </c>
      <c r="D8" s="229" t="s">
        <v>22</v>
      </c>
      <c r="E8" s="344">
        <v>0.96999999999999997</v>
      </c>
      <c r="F8" s="345" t="s">
        <v>30</v>
      </c>
      <c r="G8" s="346" t="s">
        <v>238</v>
      </c>
      <c r="H8" s="147" t="s">
        <v>14</v>
      </c>
      <c r="I8" s="261" t="s">
        <v>15</v>
      </c>
    </row>
    <row r="9" ht="99.75">
      <c r="A9" s="338"/>
      <c r="B9" s="231"/>
      <c r="C9" s="230">
        <v>7</v>
      </c>
      <c r="D9" s="260" t="s">
        <v>19</v>
      </c>
      <c r="E9" s="341">
        <v>0</v>
      </c>
      <c r="F9" s="290" t="s">
        <v>161</v>
      </c>
      <c r="G9" s="347" t="s">
        <v>239</v>
      </c>
      <c r="H9" s="147" t="s">
        <v>14</v>
      </c>
      <c r="I9" s="261" t="s">
        <v>15</v>
      </c>
    </row>
    <row r="10" ht="57">
      <c r="A10" s="338"/>
      <c r="B10" s="231"/>
      <c r="C10" s="230">
        <v>8</v>
      </c>
      <c r="D10" s="260" t="s">
        <v>32</v>
      </c>
      <c r="E10" s="233">
        <v>1</v>
      </c>
      <c r="F10" s="287" t="s">
        <v>30</v>
      </c>
      <c r="G10" s="347" t="s">
        <v>240</v>
      </c>
      <c r="H10" s="261" t="s">
        <v>168</v>
      </c>
      <c r="I10" s="261" t="s">
        <v>15</v>
      </c>
    </row>
    <row r="11" ht="42.75">
      <c r="A11" s="348"/>
      <c r="B11" s="244"/>
      <c r="C11" s="230">
        <v>9</v>
      </c>
      <c r="D11" s="260" t="s">
        <v>17</v>
      </c>
      <c r="E11" s="341">
        <v>0</v>
      </c>
      <c r="F11" s="290" t="s">
        <v>161</v>
      </c>
      <c r="G11" s="347" t="s">
        <v>241</v>
      </c>
      <c r="H11" s="147" t="s">
        <v>14</v>
      </c>
      <c r="I11" s="261" t="s">
        <v>15</v>
      </c>
    </row>
    <row r="12" ht="15">
      <c r="E12" s="323">
        <f>(E3+E4+E5+E6+E7+E8+E9+E10+E11)/9</f>
        <v>0.41444444444444445</v>
      </c>
      <c r="G12" s="349"/>
      <c r="H12" s="274"/>
      <c r="I12" s="215"/>
    </row>
    <row r="13" ht="15">
      <c r="A13" s="251" t="s">
        <v>193</v>
      </c>
      <c r="B13" s="349"/>
      <c r="C13" s="349"/>
      <c r="D13" s="349"/>
      <c r="E13" s="349"/>
      <c r="F13" s="349"/>
      <c r="G13" s="349"/>
      <c r="H13" s="274"/>
      <c r="I13" s="274"/>
    </row>
    <row r="14" ht="45.75" customHeight="1">
      <c r="A14" s="272" t="s">
        <v>242</v>
      </c>
      <c r="B14" s="272" t="s">
        <v>243</v>
      </c>
      <c r="C14" s="272"/>
      <c r="D14" s="272"/>
      <c r="E14" s="350">
        <v>0.40999999999999998</v>
      </c>
      <c r="F14" s="255" t="s">
        <v>24</v>
      </c>
      <c r="G14" s="72" t="s">
        <v>244</v>
      </c>
      <c r="H14" s="73"/>
      <c r="I14" s="74"/>
    </row>
    <row r="15" ht="14.25">
      <c r="H15" s="215"/>
      <c r="I15" s="215"/>
    </row>
    <row r="16" ht="15">
      <c r="A16" s="216" t="s">
        <v>245</v>
      </c>
      <c r="B16" s="216"/>
      <c r="C16" s="216"/>
      <c r="D16" s="216"/>
      <c r="E16" s="216"/>
      <c r="F16" s="216"/>
      <c r="G16" s="216"/>
      <c r="H16" s="216"/>
      <c r="I16" s="216"/>
    </row>
    <row r="17" ht="30">
      <c r="A17" s="351" t="s">
        <v>154</v>
      </c>
      <c r="B17" s="329" t="s">
        <v>127</v>
      </c>
      <c r="C17" s="329" t="s">
        <v>196</v>
      </c>
      <c r="D17" s="329" t="s">
        <v>6</v>
      </c>
      <c r="E17" s="330" t="s">
        <v>8</v>
      </c>
      <c r="F17" s="352"/>
      <c r="G17" s="332" t="s">
        <v>156</v>
      </c>
      <c r="H17" s="333" t="s">
        <v>230</v>
      </c>
      <c r="I17" s="334" t="s">
        <v>158</v>
      </c>
    </row>
    <row r="18" ht="71.25">
      <c r="A18" s="335" t="s">
        <v>231</v>
      </c>
      <c r="B18" s="225" t="s">
        <v>232</v>
      </c>
      <c r="C18" s="230">
        <v>1</v>
      </c>
      <c r="D18" s="229" t="s">
        <v>173</v>
      </c>
      <c r="E18" s="353">
        <v>0.56999999999999995</v>
      </c>
      <c r="F18" s="354" t="s">
        <v>24</v>
      </c>
      <c r="G18" s="260" t="s">
        <v>246</v>
      </c>
      <c r="H18" s="147" t="s">
        <v>62</v>
      </c>
      <c r="I18" s="261" t="s">
        <v>66</v>
      </c>
    </row>
    <row r="19" ht="85.5">
      <c r="A19" s="338"/>
      <c r="B19" s="231"/>
      <c r="C19" s="230">
        <v>2</v>
      </c>
      <c r="D19" s="229" t="s">
        <v>211</v>
      </c>
      <c r="E19" s="355">
        <v>0.96999999999999997</v>
      </c>
      <c r="F19" s="287" t="s">
        <v>30</v>
      </c>
      <c r="G19" s="260" t="s">
        <v>247</v>
      </c>
      <c r="H19" s="19" t="s">
        <v>62</v>
      </c>
      <c r="I19" s="261" t="s">
        <v>66</v>
      </c>
    </row>
    <row r="20" ht="42.75">
      <c r="A20" s="338"/>
      <c r="B20" s="231"/>
      <c r="C20" s="230">
        <v>3</v>
      </c>
      <c r="D20" s="229" t="s">
        <v>104</v>
      </c>
      <c r="E20" s="356">
        <v>0.87</v>
      </c>
      <c r="F20" s="287" t="s">
        <v>30</v>
      </c>
      <c r="G20" s="260" t="s">
        <v>248</v>
      </c>
      <c r="H20" s="19" t="s">
        <v>62</v>
      </c>
      <c r="I20" s="261" t="s">
        <v>63</v>
      </c>
    </row>
    <row r="21" ht="114">
      <c r="A21" s="338"/>
      <c r="B21" s="231"/>
      <c r="C21" s="230">
        <v>4</v>
      </c>
      <c r="D21" s="232" t="s">
        <v>94</v>
      </c>
      <c r="E21" s="357">
        <v>0.48999999999999999</v>
      </c>
      <c r="F21" s="358" t="s">
        <v>24</v>
      </c>
      <c r="G21" s="347" t="s">
        <v>249</v>
      </c>
      <c r="H21" s="19" t="s">
        <v>62</v>
      </c>
      <c r="I21" s="359" t="s">
        <v>66</v>
      </c>
    </row>
    <row r="22" ht="99.75">
      <c r="A22" s="338"/>
      <c r="B22" s="231"/>
      <c r="C22" s="230">
        <v>5</v>
      </c>
      <c r="D22" s="229" t="s">
        <v>65</v>
      </c>
      <c r="E22" s="360" t="s">
        <v>250</v>
      </c>
      <c r="F22" s="361" t="s">
        <v>251</v>
      </c>
      <c r="G22" s="362" t="s">
        <v>252</v>
      </c>
      <c r="H22" s="19" t="s">
        <v>62</v>
      </c>
      <c r="I22" s="261" t="s">
        <v>66</v>
      </c>
    </row>
    <row r="23" ht="57">
      <c r="A23" s="338"/>
      <c r="B23" s="231"/>
      <c r="C23" s="230">
        <v>6</v>
      </c>
      <c r="D23" s="260" t="s">
        <v>79</v>
      </c>
      <c r="E23" s="363">
        <v>1</v>
      </c>
      <c r="F23" s="364" t="s">
        <v>30</v>
      </c>
      <c r="G23" s="347" t="s">
        <v>253</v>
      </c>
      <c r="H23" s="19" t="s">
        <v>62</v>
      </c>
      <c r="I23" s="243" t="s">
        <v>63</v>
      </c>
    </row>
    <row r="24" ht="114">
      <c r="A24" s="338"/>
      <c r="B24" s="231"/>
      <c r="C24" s="230">
        <v>7</v>
      </c>
      <c r="D24" s="260" t="s">
        <v>100</v>
      </c>
      <c r="E24" s="227">
        <v>0.66000000000000003</v>
      </c>
      <c r="F24" s="288" t="s">
        <v>27</v>
      </c>
      <c r="G24" s="347" t="s">
        <v>254</v>
      </c>
      <c r="H24" s="19" t="s">
        <v>62</v>
      </c>
      <c r="I24" s="243" t="s">
        <v>63</v>
      </c>
    </row>
    <row r="25" ht="114">
      <c r="A25" s="338"/>
      <c r="B25" s="231"/>
      <c r="C25" s="230">
        <v>8</v>
      </c>
      <c r="D25" s="206" t="s">
        <v>90</v>
      </c>
      <c r="E25" s="365">
        <v>0</v>
      </c>
      <c r="F25" s="366" t="s">
        <v>161</v>
      </c>
      <c r="G25" s="260" t="s">
        <v>255</v>
      </c>
      <c r="H25" s="19" t="s">
        <v>62</v>
      </c>
      <c r="I25" s="243" t="s">
        <v>70</v>
      </c>
    </row>
    <row r="26" ht="57">
      <c r="A26" s="338"/>
      <c r="B26" s="231"/>
      <c r="C26" s="230">
        <v>9</v>
      </c>
      <c r="D26" s="206" t="s">
        <v>98</v>
      </c>
      <c r="E26" s="367">
        <v>0.39000000000000001</v>
      </c>
      <c r="F26" s="327" t="s">
        <v>13</v>
      </c>
      <c r="G26" s="260" t="s">
        <v>256</v>
      </c>
      <c r="H26" s="19" t="s">
        <v>62</v>
      </c>
      <c r="I26" s="243" t="s">
        <v>70</v>
      </c>
      <c r="J26" s="3"/>
    </row>
    <row r="27" ht="71.25">
      <c r="A27" s="338"/>
      <c r="B27" s="231"/>
      <c r="C27" s="230">
        <v>10</v>
      </c>
      <c r="D27" s="206" t="s">
        <v>82</v>
      </c>
      <c r="E27" s="341">
        <v>0</v>
      </c>
      <c r="F27" s="290" t="s">
        <v>161</v>
      </c>
      <c r="G27" s="260" t="s">
        <v>257</v>
      </c>
      <c r="H27" s="19" t="s">
        <v>62</v>
      </c>
      <c r="I27" s="243" t="s">
        <v>66</v>
      </c>
      <c r="J27" s="3"/>
    </row>
    <row r="28" ht="85.5">
      <c r="A28" s="338"/>
      <c r="B28" s="231"/>
      <c r="C28" s="68">
        <v>11</v>
      </c>
      <c r="D28" s="82" t="s">
        <v>69</v>
      </c>
      <c r="E28" s="316" t="s">
        <v>250</v>
      </c>
      <c r="F28" s="316" t="s">
        <v>251</v>
      </c>
      <c r="G28" s="205" t="s">
        <v>258</v>
      </c>
      <c r="H28" s="19" t="s">
        <v>62</v>
      </c>
      <c r="I28" s="243" t="s">
        <v>70</v>
      </c>
      <c r="J28" s="3"/>
    </row>
    <row r="29" ht="85.5">
      <c r="A29" s="338"/>
      <c r="B29" s="231"/>
      <c r="C29" s="68">
        <v>12</v>
      </c>
      <c r="D29" s="205" t="s">
        <v>61</v>
      </c>
      <c r="E29" s="341">
        <v>0</v>
      </c>
      <c r="F29" s="290" t="s">
        <v>161</v>
      </c>
      <c r="G29" s="82" t="s">
        <v>259</v>
      </c>
      <c r="H29" s="19" t="s">
        <v>62</v>
      </c>
      <c r="I29" s="243" t="s">
        <v>70</v>
      </c>
      <c r="J29" s="3"/>
    </row>
    <row r="30" ht="28.5">
      <c r="A30" s="338"/>
      <c r="B30" s="231"/>
      <c r="C30" s="68">
        <v>13</v>
      </c>
      <c r="D30" s="82" t="s">
        <v>67</v>
      </c>
      <c r="E30" s="360" t="s">
        <v>250</v>
      </c>
      <c r="F30" s="361" t="s">
        <v>251</v>
      </c>
      <c r="G30" s="205" t="s">
        <v>260</v>
      </c>
      <c r="H30" s="19" t="s">
        <v>62</v>
      </c>
      <c r="I30" s="209" t="s">
        <v>66</v>
      </c>
      <c r="J30" s="3"/>
    </row>
    <row r="31" ht="42.75">
      <c r="A31" s="338"/>
      <c r="B31" s="231"/>
      <c r="C31" s="68">
        <v>14</v>
      </c>
      <c r="D31" s="82" t="s">
        <v>85</v>
      </c>
      <c r="E31" s="368">
        <v>0.82999999999999996</v>
      </c>
      <c r="F31" s="319" t="s">
        <v>30</v>
      </c>
      <c r="G31" s="82" t="s">
        <v>261</v>
      </c>
      <c r="H31" s="19" t="s">
        <v>62</v>
      </c>
      <c r="I31" s="205" t="s">
        <v>70</v>
      </c>
    </row>
    <row r="32" ht="57">
      <c r="A32" s="338"/>
      <c r="B32" s="231"/>
      <c r="C32" s="68">
        <v>15</v>
      </c>
      <c r="D32" s="82" t="s">
        <v>185</v>
      </c>
      <c r="E32" s="341">
        <v>0</v>
      </c>
      <c r="F32" s="290" t="s">
        <v>161</v>
      </c>
      <c r="G32" s="205" t="s">
        <v>262</v>
      </c>
      <c r="H32" s="19" t="s">
        <v>62</v>
      </c>
      <c r="I32" s="209" t="s">
        <v>63</v>
      </c>
    </row>
    <row r="33" ht="57">
      <c r="A33" s="338"/>
      <c r="B33" s="231"/>
      <c r="C33" s="68">
        <v>16</v>
      </c>
      <c r="D33" s="82" t="s">
        <v>72</v>
      </c>
      <c r="E33" s="369">
        <v>0</v>
      </c>
      <c r="F33" s="291" t="s">
        <v>58</v>
      </c>
      <c r="G33" s="82" t="s">
        <v>263</v>
      </c>
      <c r="H33" s="19" t="s">
        <v>62</v>
      </c>
      <c r="I33" s="209" t="s">
        <v>66</v>
      </c>
    </row>
    <row r="34" ht="99.75">
      <c r="A34" s="338"/>
      <c r="B34" s="231"/>
      <c r="C34" s="68">
        <v>17</v>
      </c>
      <c r="D34" s="82" t="s">
        <v>88</v>
      </c>
      <c r="E34" s="370">
        <v>0.90000000000000002</v>
      </c>
      <c r="F34" s="319" t="s">
        <v>30</v>
      </c>
      <c r="G34" s="82" t="s">
        <v>264</v>
      </c>
      <c r="H34" s="19" t="s">
        <v>62</v>
      </c>
      <c r="I34" s="209" t="s">
        <v>66</v>
      </c>
    </row>
    <row r="35" ht="199.5">
      <c r="A35" s="338"/>
      <c r="B35" s="231"/>
      <c r="C35" s="68">
        <v>18</v>
      </c>
      <c r="D35" s="205" t="s">
        <v>93</v>
      </c>
      <c r="E35" s="371">
        <v>0</v>
      </c>
      <c r="F35" s="372" t="s">
        <v>58</v>
      </c>
      <c r="G35" s="82" t="s">
        <v>265</v>
      </c>
      <c r="H35" s="19" t="s">
        <v>62</v>
      </c>
      <c r="I35" s="209" t="s">
        <v>66</v>
      </c>
    </row>
    <row r="36" ht="57">
      <c r="A36" s="338"/>
      <c r="B36" s="231"/>
      <c r="C36" s="68">
        <v>19</v>
      </c>
      <c r="D36" s="205" t="s">
        <v>80</v>
      </c>
      <c r="E36" s="373">
        <v>0.40000000000000002</v>
      </c>
      <c r="F36" s="374" t="s">
        <v>13</v>
      </c>
      <c r="G36" s="82" t="s">
        <v>266</v>
      </c>
      <c r="H36" s="19" t="s">
        <v>62</v>
      </c>
      <c r="I36" s="205" t="s">
        <v>70</v>
      </c>
    </row>
    <row r="37" ht="42.75">
      <c r="A37" s="338"/>
      <c r="B37" s="231"/>
      <c r="C37" s="68">
        <v>20</v>
      </c>
      <c r="D37" s="205" t="s">
        <v>91</v>
      </c>
      <c r="E37" s="375" t="s">
        <v>250</v>
      </c>
      <c r="F37" s="316" t="s">
        <v>251</v>
      </c>
      <c r="G37" s="82" t="s">
        <v>267</v>
      </c>
      <c r="H37" s="19" t="s">
        <v>62</v>
      </c>
      <c r="I37" s="205" t="s">
        <v>66</v>
      </c>
    </row>
    <row r="38" ht="57">
      <c r="A38" s="338"/>
      <c r="B38" s="231"/>
      <c r="C38" s="68">
        <v>21</v>
      </c>
      <c r="D38" s="82" t="s">
        <v>92</v>
      </c>
      <c r="E38" s="373">
        <v>0.20999999999999999</v>
      </c>
      <c r="F38" s="374" t="s">
        <v>13</v>
      </c>
      <c r="G38" s="82" t="s">
        <v>268</v>
      </c>
      <c r="H38" s="19" t="s">
        <v>62</v>
      </c>
      <c r="I38" s="209" t="s">
        <v>63</v>
      </c>
    </row>
    <row r="39" ht="99.75">
      <c r="A39" s="338"/>
      <c r="B39" s="231"/>
      <c r="C39" s="68">
        <v>22</v>
      </c>
      <c r="D39" s="82" t="s">
        <v>74</v>
      </c>
      <c r="E39" s="341">
        <v>0</v>
      </c>
      <c r="F39" s="290" t="s">
        <v>161</v>
      </c>
      <c r="G39" s="82" t="s">
        <v>269</v>
      </c>
      <c r="H39" s="19" t="s">
        <v>62</v>
      </c>
      <c r="I39" s="205" t="s">
        <v>63</v>
      </c>
    </row>
    <row r="40" ht="57">
      <c r="A40" s="338"/>
      <c r="B40" s="231"/>
      <c r="C40" s="68">
        <v>23</v>
      </c>
      <c r="D40" s="82" t="s">
        <v>84</v>
      </c>
      <c r="E40" s="376">
        <v>0.53000000000000003</v>
      </c>
      <c r="F40" s="377" t="s">
        <v>24</v>
      </c>
      <c r="G40" s="82" t="s">
        <v>270</v>
      </c>
      <c r="H40" s="19" t="s">
        <v>62</v>
      </c>
      <c r="I40" s="205" t="s">
        <v>70</v>
      </c>
    </row>
    <row r="41" ht="156.75">
      <c r="A41" s="338"/>
      <c r="B41" s="231"/>
      <c r="C41" s="68">
        <v>24</v>
      </c>
      <c r="D41" s="82" t="s">
        <v>77</v>
      </c>
      <c r="E41" s="378">
        <v>0.80000000000000004</v>
      </c>
      <c r="F41" s="379" t="s">
        <v>27</v>
      </c>
      <c r="G41" s="205" t="s">
        <v>271</v>
      </c>
      <c r="H41" s="19" t="s">
        <v>62</v>
      </c>
      <c r="I41" s="205" t="s">
        <v>70</v>
      </c>
    </row>
    <row r="42" ht="57">
      <c r="A42" s="338"/>
      <c r="B42" s="231"/>
      <c r="C42" s="68">
        <v>25</v>
      </c>
      <c r="D42" s="82" t="s">
        <v>76</v>
      </c>
      <c r="E42" s="360" t="s">
        <v>250</v>
      </c>
      <c r="F42" s="361" t="s">
        <v>272</v>
      </c>
      <c r="G42" s="82" t="s">
        <v>263</v>
      </c>
      <c r="H42" s="19" t="s">
        <v>62</v>
      </c>
      <c r="I42" s="205" t="s">
        <v>70</v>
      </c>
    </row>
    <row r="43" ht="114">
      <c r="A43" s="348"/>
      <c r="B43" s="244"/>
      <c r="C43" s="68">
        <v>26</v>
      </c>
      <c r="D43" s="82" t="s">
        <v>96</v>
      </c>
      <c r="E43" s="380">
        <v>0.95999999999999996</v>
      </c>
      <c r="F43" s="381" t="s">
        <v>30</v>
      </c>
      <c r="G43" s="82" t="s">
        <v>273</v>
      </c>
      <c r="H43" s="19" t="s">
        <v>62</v>
      </c>
      <c r="I43" s="209" t="s">
        <v>66</v>
      </c>
    </row>
    <row r="44" ht="14.25">
      <c r="E44" s="382">
        <f>(E18+E19+E20+E21+E23+E24+E25+E26+E27+E29+E31+E32+E33+E34+E35+E36+E38+E39+E40+E41+E43)/22</f>
        <v>0.43545454545454554</v>
      </c>
      <c r="F44" s="46"/>
      <c r="H44" s="3"/>
      <c r="I44" s="215"/>
    </row>
    <row r="45" ht="15">
      <c r="A45" s="276" t="s">
        <v>193</v>
      </c>
      <c r="B45" s="383"/>
      <c r="C45" s="383"/>
      <c r="D45" s="383"/>
      <c r="E45" s="383"/>
      <c r="F45" s="383"/>
      <c r="G45" s="383"/>
      <c r="H45" s="277"/>
      <c r="I45" s="277"/>
    </row>
    <row r="46" ht="69.75" customHeight="1">
      <c r="A46" s="272" t="s">
        <v>242</v>
      </c>
      <c r="B46" s="384" t="s">
        <v>243</v>
      </c>
      <c r="C46" s="385"/>
      <c r="D46" s="386"/>
      <c r="E46" s="387">
        <v>0.44</v>
      </c>
      <c r="F46" s="255" t="s">
        <v>24</v>
      </c>
      <c r="G46" s="72" t="s">
        <v>274</v>
      </c>
      <c r="H46" s="73"/>
      <c r="I46" s="74"/>
    </row>
    <row r="47" ht="14.25">
      <c r="H47" s="215"/>
      <c r="I47" s="215"/>
    </row>
    <row r="49" ht="14.25">
      <c r="H49" s="215"/>
      <c r="I49" s="215"/>
    </row>
  </sheetData>
  <mergeCells count="12">
    <mergeCell ref="A1:I1"/>
    <mergeCell ref="E2:F2"/>
    <mergeCell ref="A3:A11"/>
    <mergeCell ref="B3:B11"/>
    <mergeCell ref="B14:D14"/>
    <mergeCell ref="G14:I14"/>
    <mergeCell ref="A16:I16"/>
    <mergeCell ref="E17:F17"/>
    <mergeCell ref="A18:A43"/>
    <mergeCell ref="B18:B43"/>
    <mergeCell ref="B46:D46"/>
    <mergeCell ref="G46:I46"/>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8D003F-00CC-4C0F-B775-00D200870084}">
            <xm:f>NOT(ISERROR(SEARCH("Высокий уровень",D9)))</xm:f>
            <x14:dxf>
              <fill>
                <patternFill patternType="solid">
                  <fgColor rgb="FF70AD47"/>
                  <bgColor rgb="FF70AD47"/>
                </patternFill>
              </fill>
            </x14:dxf>
          </x14:cfRule>
          <xm:sqref>F12</xm:sqref>
        </x14:conditionalFormatting>
        <x14:conditionalFormatting xmlns:xm="http://schemas.microsoft.com/office/excel/2006/main">
          <x14:cfRule type="containsText" priority="6" text="Высокий уровень" id="{00160091-008D-4312-96DE-00A6006D004B}">
            <xm:f>NOT(ISERROR(SEARCH("Высокий уровень",D9)))</xm:f>
            <x14:dxf>
              <fill>
                <patternFill patternType="solid">
                  <fgColor rgb="FF70AD47"/>
                  <bgColor rgb="FF70AD47"/>
                </patternFill>
              </fill>
            </x14:dxf>
          </x14:cfRule>
          <xm:sqref>F12</xm:sqref>
        </x14:conditionalFormatting>
        <x14:conditionalFormatting xmlns:xm="http://schemas.microsoft.com/office/excel/2006/main">
          <x14:cfRule type="containsText" priority="6" text="Выше среднего" id="{00700091-0058-416A-A434-00E6005E00FC}">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6" text="Высокий уровень" id="{00D300E6-004B-444F-A76B-00C200B10046}">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ше среднего" id="{00D0006F-00E9-4785-B175-00AA00B900D2}">
            <xm:f>NOT(ISERROR(SEARCH("Выше среднего",D9)))</xm:f>
            <x14:dxf>
              <fill>
                <patternFill patternType="solid">
                  <fgColor rgb="FFA9D08D"/>
                  <bgColor rgb="FFA9D08D"/>
                </patternFill>
              </fill>
            </x14:dxf>
          </x14:cfRule>
          <xm:sqref>F45</xm:sqref>
        </x14:conditionalFormatting>
        <x14:conditionalFormatting xmlns:xm="http://schemas.microsoft.com/office/excel/2006/main">
          <x14:cfRule type="containsText" priority="5" text="Выше среднего" id="{009F007F-0093-44A3-9197-000200160056}">
            <xm:f>NOT(ISERROR(SEARCH("Выше среднего",D9)))</xm:f>
            <x14:dxf>
              <fill>
                <patternFill patternType="solid">
                  <fgColor rgb="FFA9D08D"/>
                  <bgColor rgb="FFA9D08D"/>
                </patternFill>
              </fill>
            </x14:dxf>
          </x14:cfRule>
          <xm:sqref>F12</xm:sqref>
        </x14:conditionalFormatting>
        <x14:conditionalFormatting xmlns:xm="http://schemas.microsoft.com/office/excel/2006/main">
          <x14:cfRule type="containsText" priority="5" text="Выше среднего" id="{000400CB-00B7-44BD-B61B-0026006500F1}">
            <xm:f>NOT(ISERROR(SEARCH("Выше среднего",D9)))</xm:f>
            <x14:dxf>
              <fill>
                <patternFill patternType="solid">
                  <fgColor rgb="FFA9D08D"/>
                  <bgColor rgb="FFA9D08D"/>
                </patternFill>
              </fill>
            </x14:dxf>
          </x14:cfRule>
          <xm:sqref>F12</xm:sqref>
        </x14:conditionalFormatting>
        <x14:conditionalFormatting xmlns:xm="http://schemas.microsoft.com/office/excel/2006/main">
          <x14:cfRule type="containsText" priority="5" text="Выше среднего" id="{00AC008A-0062-47D9-89F9-007B008E0068}">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740070-00FD-471D-AA53-008E0034001B}">
            <xm:f>NOT(ISERROR(SEARCH("Выше среднего",D9)))</xm:f>
            <x14:dxf>
              <fill>
                <patternFill patternType="solid">
                  <fgColor rgb="FFA9D08D"/>
                  <bgColor rgb="FFA9D08D"/>
                </patternFill>
              </fill>
            </x14:dxf>
          </x14:cfRule>
          <xm:sqref>F45</xm:sqref>
        </x14:conditionalFormatting>
        <x14:conditionalFormatting xmlns:xm="http://schemas.microsoft.com/office/excel/2006/main">
          <x14:cfRule type="containsText" priority="4" text="Средний уровень" id="{00F80056-005B-4606-8C16-00DC00730013}">
            <xm:f>NOT(ISERROR(SEARCH("Средний уровень",D9)))</xm:f>
            <x14:dxf>
              <font>
                <color theme="1" tint="0"/>
              </font>
              <fill>
                <patternFill patternType="solid">
                  <fgColor indexed="5"/>
                  <bgColor indexed="5"/>
                </patternFill>
              </fill>
            </x14:dxf>
          </x14:cfRule>
          <xm:sqref>F12</xm:sqref>
        </x14:conditionalFormatting>
        <x14:conditionalFormatting xmlns:xm="http://schemas.microsoft.com/office/excel/2006/main">
          <x14:cfRule type="containsText" priority="4" text="Средний уровень" id="{009B0082-001F-4933-B48A-0053007C00C1}">
            <xm:f>NOT(ISERROR(SEARCH("Средний уровень",D9)))</xm:f>
            <x14:dxf>
              <font>
                <color theme="1" tint="0"/>
              </font>
              <fill>
                <patternFill patternType="solid">
                  <fgColor indexed="5"/>
                  <bgColor indexed="5"/>
                </patternFill>
              </fill>
            </x14:dxf>
          </x14:cfRule>
          <xm:sqref>F12</xm:sqref>
        </x14:conditionalFormatting>
        <x14:conditionalFormatting xmlns:xm="http://schemas.microsoft.com/office/excel/2006/main">
          <x14:cfRule type="containsText" priority="4" text="Средний уровень" id="{007B0032-00DC-4F60-A512-005200FE00AD}">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D100A2-008B-4CBE-876C-001B00C00011}">
            <xm:f>NOT(ISERROR(SEARCH("Средний уровень",D9)))</xm:f>
            <x14:dxf>
              <font>
                <color theme="1" tint="0"/>
              </font>
              <fill>
                <patternFill patternType="solid">
                  <fgColor indexed="5"/>
                  <bgColor indexed="5"/>
                </patternFill>
              </fill>
            </x14:dxf>
          </x14:cfRule>
          <xm:sqref>F45</xm:sqref>
        </x14:conditionalFormatting>
        <x14:conditionalFormatting xmlns:xm="http://schemas.microsoft.com/office/excel/2006/main">
          <x14:cfRule type="containsText" priority="3" text="Ниже среднего" id="{009B00FD-00DE-4DDA-8322-0088007F00FE}">
            <xm:f>NOT(ISERROR(SEARCH("Ниже среднего",D9)))</xm:f>
            <x14:dxf>
              <fill>
                <patternFill patternType="solid">
                  <fgColor rgb="FFED7D31"/>
                  <bgColor rgb="FFED7D31"/>
                </patternFill>
              </fill>
            </x14:dxf>
          </x14:cfRule>
          <xm:sqref>F12</xm:sqref>
        </x14:conditionalFormatting>
        <x14:conditionalFormatting xmlns:xm="http://schemas.microsoft.com/office/excel/2006/main">
          <x14:cfRule type="containsText" priority="3" text="Ниже среднего" id="{001C0028-009C-486F-92A6-001A0050005A}">
            <xm:f>NOT(ISERROR(SEARCH("Ниже среднего",D9)))</xm:f>
            <x14:dxf>
              <fill>
                <patternFill patternType="solid">
                  <fgColor rgb="FFED7D31"/>
                  <bgColor rgb="FFED7D31"/>
                </patternFill>
              </fill>
            </x14:dxf>
          </x14:cfRule>
          <xm:sqref>F12</xm:sqref>
        </x14:conditionalFormatting>
        <x14:conditionalFormatting xmlns:xm="http://schemas.microsoft.com/office/excel/2006/main">
          <x14:cfRule type="containsText" priority="3" text="Ниже среднего" id="{00670075-00D5-4156-BED8-00A3007A009A}">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1A0025-0038-411C-8844-009600900096}">
            <xm:f>NOT(ISERROR(SEARCH("Ниже среднего",D9)))</xm:f>
            <x14:dxf>
              <fill>
                <patternFill patternType="solid">
                  <fgColor rgb="FFED7D31"/>
                  <bgColor rgb="FFED7D31"/>
                </patternFill>
              </fill>
            </x14:dxf>
          </x14:cfRule>
          <xm:sqref>F45</xm:sqref>
        </x14:conditionalFormatting>
        <x14:conditionalFormatting xmlns:xm="http://schemas.microsoft.com/office/excel/2006/main">
          <x14:cfRule type="containsText" priority="2" text="Низкий уровень" id="{00E5002D-001C-488B-B570-001F00AD00B7}">
            <xm:f>NOT(ISERROR(SEARCH("Низкий уровень",D9)))</xm:f>
            <x14:dxf>
              <fill>
                <patternFill patternType="solid">
                  <fgColor indexed="2"/>
                  <bgColor indexed="2"/>
                </patternFill>
              </fill>
            </x14:dxf>
          </x14:cfRule>
          <xm:sqref>F12</xm:sqref>
        </x14:conditionalFormatting>
        <x14:conditionalFormatting xmlns:xm="http://schemas.microsoft.com/office/excel/2006/main">
          <x14:cfRule type="containsText" priority="2" text="Низкий уровень" id="{007E00F9-009A-4FE4-9DE1-00720047006D}">
            <xm:f>NOT(ISERROR(SEARCH("Низкий уровень",D9)))</xm:f>
            <x14:dxf>
              <fill>
                <patternFill patternType="solid">
                  <fgColor indexed="2"/>
                  <bgColor indexed="2"/>
                </patternFill>
              </fill>
            </x14:dxf>
          </x14:cfRule>
          <xm:sqref>F12</xm:sqref>
        </x14:conditionalFormatting>
        <x14:conditionalFormatting xmlns:xm="http://schemas.microsoft.com/office/excel/2006/main">
          <x14:cfRule type="containsText" priority="2" text="Низкий уровень" id="{000700D2-00EE-4371-BB14-0079009C0014}">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5800B5-0081-46A1-A238-005B0068007F}">
            <xm:f>NOT(ISERROR(SEARCH("Низкий уровень",D9)))</xm:f>
            <x14:dxf>
              <fill>
                <patternFill patternType="solid">
                  <fgColor indexed="2"/>
                  <bgColor indexed="2"/>
                </patternFill>
              </fill>
            </x14:dxf>
          </x14:cfRule>
          <xm:sqref>F45</xm:sqref>
        </x14:conditionalFormatting>
        <x14:conditionalFormatting xmlns:xm="http://schemas.microsoft.com/office/excel/2006/main">
          <x14:cfRule type="containsText" priority="1" text="Невозможно измерить" id="{005E009F-0018-4AF1-B2C5-00EA00D5002E}">
            <xm:f>NOT(ISERROR(SEARCH("Невозможно измерить",D9)))</xm:f>
            <x14:dxf>
              <fill>
                <patternFill patternType="solid">
                  <fgColor rgb="FF7F7F7F"/>
                  <bgColor rgb="FF7F7F7F"/>
                </patternFill>
              </fill>
            </x14:dxf>
          </x14:cfRule>
          <xm:sqref>F12</xm:sqref>
        </x14:conditionalFormatting>
        <x14:conditionalFormatting xmlns:xm="http://schemas.microsoft.com/office/excel/2006/main">
          <x14:cfRule type="containsText" priority="1" text="Невозможно измерить" id="{00C100C2-0034-4BAC-9060-003B0012005F}">
            <xm:f>NOT(ISERROR(SEARCH("Невозможно измерить",D9)))</xm:f>
            <x14:dxf>
              <fill>
                <patternFill patternType="solid">
                  <fgColor rgb="FF7F7F7F"/>
                  <bgColor rgb="FF7F7F7F"/>
                </patternFill>
              </fill>
            </x14:dxf>
          </x14:cfRule>
          <xm:sqref>F12</xm:sqref>
        </x14:conditionalFormatting>
        <x14:conditionalFormatting xmlns:xm="http://schemas.microsoft.com/office/excel/2006/main">
          <x14:cfRule type="containsText" priority="1" text="Невозможно измерить" id="{00A80049-00FE-4029-AF33-002C003B00D0}">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540060-00F9-4825-9082-004300A40067}">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C2001E-00AD-4263-9AB5-000E004B00CE}">
            <xm:f>NOT(ISERROR(SEARCH("Невозможно измерить",D9)))</xm:f>
            <x14:dxf>
              <fill>
                <patternFill patternType="solid">
                  <fgColor rgb="FF7F7F7F"/>
                  <bgColor rgb="FF7F7F7F"/>
                </patternFill>
              </fill>
            </x14:dxf>
          </x14:cfRule>
          <xm:sqref>F45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2" zoomScale="100" workbookViewId="0">
      <selection activeCell="A1" activeCellId="0" sqref="A1"/>
    </sheetView>
  </sheetViews>
  <sheetFormatPr defaultRowHeight="14.25"/>
  <cols>
    <col customWidth="1" min="1" max="1" width="19.7109375"/>
    <col customWidth="1" min="2" max="2" width="15.8515625"/>
    <col customWidth="1" min="3" max="3" width="6.00390625"/>
    <col customWidth="1" min="4" max="4" width="30.28125"/>
    <col customWidth="1" min="5" max="5" width="11.8515625"/>
    <col customWidth="1" min="6" max="6" width="18.57421875"/>
    <col customWidth="1" min="7" max="7" width="81.421875"/>
    <col customWidth="1" min="8" max="8" width="8.28125"/>
    <col customWidth="1" min="9" max="9" width="24.8515625"/>
    <col customWidth="1" min="10" max="10" width="26.7109375"/>
  </cols>
  <sheetData>
    <row r="1" ht="15">
      <c r="A1" s="216" t="s">
        <v>153</v>
      </c>
      <c r="B1" s="216"/>
      <c r="C1" s="216"/>
      <c r="D1" s="216"/>
      <c r="E1" s="216"/>
      <c r="F1" s="216"/>
      <c r="G1" s="216"/>
      <c r="H1" s="216"/>
      <c r="I1" s="216"/>
    </row>
    <row r="2" ht="30">
      <c r="A2" s="285" t="s">
        <v>154</v>
      </c>
      <c r="B2" s="285" t="s">
        <v>127</v>
      </c>
      <c r="C2" s="285" t="s">
        <v>196</v>
      </c>
      <c r="D2" s="223" t="s">
        <v>155</v>
      </c>
      <c r="E2" s="221" t="s">
        <v>8</v>
      </c>
      <c r="F2" s="222"/>
      <c r="G2" s="388" t="s">
        <v>156</v>
      </c>
      <c r="H2" s="389" t="s">
        <v>275</v>
      </c>
      <c r="I2" s="388" t="s">
        <v>158</v>
      </c>
    </row>
    <row r="3" ht="45">
      <c r="A3" s="390" t="s">
        <v>276</v>
      </c>
      <c r="B3" s="391" t="s">
        <v>277</v>
      </c>
      <c r="C3" s="19">
        <v>1</v>
      </c>
      <c r="D3" s="261" t="s">
        <v>29</v>
      </c>
      <c r="E3" s="287">
        <v>1</v>
      </c>
      <c r="F3" s="392" t="s">
        <v>30</v>
      </c>
      <c r="G3" s="268" t="s">
        <v>278</v>
      </c>
      <c r="H3" s="147" t="s">
        <v>14</v>
      </c>
      <c r="I3" s="147" t="s">
        <v>15</v>
      </c>
    </row>
    <row r="4" ht="71.25" customHeight="1">
      <c r="A4" s="393"/>
      <c r="B4" s="394"/>
      <c r="C4" s="19">
        <v>2</v>
      </c>
      <c r="D4" s="261" t="s">
        <v>26</v>
      </c>
      <c r="E4" s="395" t="s">
        <v>250</v>
      </c>
      <c r="F4" s="360" t="s">
        <v>251</v>
      </c>
      <c r="G4" s="396" t="s">
        <v>279</v>
      </c>
      <c r="H4" s="147" t="s">
        <v>14</v>
      </c>
      <c r="I4" s="147" t="s">
        <v>15</v>
      </c>
    </row>
    <row r="5" ht="72.75" customHeight="1">
      <c r="A5" s="393"/>
      <c r="B5" s="394"/>
      <c r="C5" s="19">
        <v>3</v>
      </c>
      <c r="D5" s="261" t="s">
        <v>12</v>
      </c>
      <c r="E5" s="397">
        <v>1</v>
      </c>
      <c r="F5" s="398" t="s">
        <v>30</v>
      </c>
      <c r="G5" s="237" t="s">
        <v>280</v>
      </c>
      <c r="H5" s="147" t="s">
        <v>14</v>
      </c>
      <c r="I5" s="147" t="s">
        <v>15</v>
      </c>
    </row>
    <row r="6" ht="57">
      <c r="A6" s="393"/>
      <c r="B6" s="394"/>
      <c r="C6" s="19">
        <v>4</v>
      </c>
      <c r="D6" s="238" t="s">
        <v>20</v>
      </c>
      <c r="E6" s="399">
        <v>0.37</v>
      </c>
      <c r="F6" s="400" t="s">
        <v>13</v>
      </c>
      <c r="G6" s="401" t="s">
        <v>281</v>
      </c>
      <c r="H6" s="147" t="s">
        <v>14</v>
      </c>
      <c r="I6" s="147" t="s">
        <v>15</v>
      </c>
      <c r="J6" s="337"/>
    </row>
    <row r="7" ht="75.75" customHeight="1">
      <c r="A7" s="393"/>
      <c r="B7" s="394"/>
      <c r="C7" s="19">
        <v>5</v>
      </c>
      <c r="D7" s="27" t="s">
        <v>23</v>
      </c>
      <c r="E7" s="395" t="s">
        <v>250</v>
      </c>
      <c r="F7" s="360" t="s">
        <v>251</v>
      </c>
      <c r="G7" s="347" t="s">
        <v>282</v>
      </c>
      <c r="H7" s="147" t="s">
        <v>14</v>
      </c>
      <c r="I7" s="147" t="s">
        <v>15</v>
      </c>
    </row>
    <row r="8" ht="42.75">
      <c r="A8" s="393"/>
      <c r="B8" s="394"/>
      <c r="C8" s="19">
        <v>6</v>
      </c>
      <c r="D8" s="261" t="s">
        <v>22</v>
      </c>
      <c r="E8" s="395" t="s">
        <v>250</v>
      </c>
      <c r="F8" s="360" t="s">
        <v>251</v>
      </c>
      <c r="G8" s="309" t="s">
        <v>283</v>
      </c>
      <c r="H8" s="261" t="s">
        <v>14</v>
      </c>
      <c r="I8" s="147" t="s">
        <v>15</v>
      </c>
    </row>
    <row r="9" ht="94.5" customHeight="1">
      <c r="A9" s="393"/>
      <c r="B9" s="394"/>
      <c r="C9" s="19">
        <v>7</v>
      </c>
      <c r="D9" s="261" t="s">
        <v>19</v>
      </c>
      <c r="E9" s="395" t="s">
        <v>250</v>
      </c>
      <c r="F9" s="360" t="s">
        <v>251</v>
      </c>
      <c r="G9" s="347" t="s">
        <v>283</v>
      </c>
      <c r="H9" s="261" t="s">
        <v>14</v>
      </c>
      <c r="I9" s="18" t="s">
        <v>15</v>
      </c>
    </row>
    <row r="10" ht="57">
      <c r="A10" s="393"/>
      <c r="B10" s="394"/>
      <c r="C10" s="19">
        <v>8</v>
      </c>
      <c r="D10" s="402" t="s">
        <v>32</v>
      </c>
      <c r="E10" s="395" t="s">
        <v>250</v>
      </c>
      <c r="F10" s="360" t="s">
        <v>251</v>
      </c>
      <c r="G10" s="260" t="s">
        <v>284</v>
      </c>
      <c r="H10" s="229" t="s">
        <v>168</v>
      </c>
      <c r="I10" s="147" t="s">
        <v>15</v>
      </c>
      <c r="J10" s="403"/>
    </row>
    <row r="11" ht="42.75">
      <c r="A11" s="404"/>
      <c r="B11" s="405"/>
      <c r="C11" s="19">
        <v>9</v>
      </c>
      <c r="D11" s="402" t="s">
        <v>17</v>
      </c>
      <c r="E11" s="395" t="s">
        <v>250</v>
      </c>
      <c r="F11" s="360" t="s">
        <v>251</v>
      </c>
      <c r="G11" s="260" t="s">
        <v>283</v>
      </c>
      <c r="H11" s="406" t="s">
        <v>14</v>
      </c>
      <c r="I11" s="147" t="s">
        <v>15</v>
      </c>
      <c r="J11" s="403"/>
    </row>
    <row r="12" ht="15">
      <c r="A12" s="302"/>
      <c r="B12" s="407"/>
      <c r="C12" s="249"/>
      <c r="D12" s="408"/>
      <c r="E12" s="409">
        <f>(E3+E5+E6)/3</f>
        <v>0.79000000000000004</v>
      </c>
      <c r="F12" s="249"/>
      <c r="G12" s="410"/>
      <c r="H12" s="252"/>
      <c r="I12" s="252"/>
      <c r="J12" s="403"/>
    </row>
    <row r="13" ht="15">
      <c r="A13" s="302" t="s">
        <v>193</v>
      </c>
      <c r="B13" s="275"/>
      <c r="C13" s="275"/>
      <c r="D13" s="275"/>
      <c r="E13" s="275"/>
      <c r="F13" s="275"/>
      <c r="G13" s="275"/>
      <c r="H13" s="275"/>
      <c r="I13" s="275"/>
    </row>
    <row r="14" ht="69" customHeight="1">
      <c r="A14" s="411" t="s">
        <v>242</v>
      </c>
      <c r="B14" s="412" t="s">
        <v>285</v>
      </c>
      <c r="C14" s="413"/>
      <c r="D14" s="414"/>
      <c r="E14" s="415">
        <v>0.79000000000000004</v>
      </c>
      <c r="F14" s="416" t="s">
        <v>45</v>
      </c>
      <c r="G14" s="417" t="s">
        <v>286</v>
      </c>
      <c r="H14" s="418"/>
      <c r="I14" s="419"/>
    </row>
    <row r="15" ht="5.25" customHeight="1">
      <c r="A15" s="420"/>
      <c r="B15" s="421"/>
      <c r="C15" s="422"/>
      <c r="D15" s="423"/>
      <c r="E15" s="424"/>
      <c r="F15" s="425"/>
      <c r="G15" s="426"/>
      <c r="H15" s="427"/>
      <c r="I15" s="428"/>
    </row>
    <row r="16" ht="14.25">
      <c r="A16" s="429"/>
      <c r="B16" s="429"/>
      <c r="C16" s="429"/>
      <c r="D16" s="429"/>
      <c r="E16" s="429"/>
      <c r="F16" s="429"/>
      <c r="G16" s="429"/>
      <c r="H16" s="429"/>
      <c r="I16" s="429"/>
    </row>
    <row r="17" ht="15">
      <c r="A17" s="216" t="s">
        <v>287</v>
      </c>
      <c r="B17" s="216"/>
      <c r="C17" s="216"/>
      <c r="D17" s="216"/>
      <c r="E17" s="216"/>
      <c r="F17" s="216"/>
      <c r="G17" s="216"/>
      <c r="H17" s="216"/>
      <c r="I17" s="216"/>
    </row>
    <row r="18" ht="30">
      <c r="A18" s="285" t="s">
        <v>154</v>
      </c>
      <c r="B18" s="285" t="s">
        <v>127</v>
      </c>
      <c r="C18" s="285" t="s">
        <v>196</v>
      </c>
      <c r="D18" s="223" t="s">
        <v>155</v>
      </c>
      <c r="E18" s="221" t="s">
        <v>8</v>
      </c>
      <c r="F18" s="222"/>
      <c r="G18" s="388" t="s">
        <v>156</v>
      </c>
      <c r="H18" s="389" t="s">
        <v>288</v>
      </c>
      <c r="I18" s="388" t="s">
        <v>158</v>
      </c>
    </row>
    <row r="19" ht="57">
      <c r="A19" s="411" t="s">
        <v>276</v>
      </c>
      <c r="B19" s="391" t="s">
        <v>277</v>
      </c>
      <c r="C19" s="19">
        <v>1</v>
      </c>
      <c r="D19" s="261" t="s">
        <v>173</v>
      </c>
      <c r="E19" s="430">
        <v>0.19</v>
      </c>
      <c r="F19" s="431" t="s">
        <v>58</v>
      </c>
      <c r="G19" s="264" t="s">
        <v>289</v>
      </c>
      <c r="H19" s="147" t="s">
        <v>62</v>
      </c>
      <c r="I19" s="261" t="s">
        <v>66</v>
      </c>
    </row>
    <row r="20" ht="71.25">
      <c r="A20" s="432"/>
      <c r="B20" s="394"/>
      <c r="C20" s="19">
        <v>2</v>
      </c>
      <c r="D20" s="261" t="s">
        <v>211</v>
      </c>
      <c r="E20" s="433">
        <v>0.69999999999999996</v>
      </c>
      <c r="F20" s="434" t="s">
        <v>27</v>
      </c>
      <c r="G20" s="264" t="s">
        <v>290</v>
      </c>
      <c r="H20" s="19" t="s">
        <v>62</v>
      </c>
      <c r="I20" s="261" t="s">
        <v>66</v>
      </c>
    </row>
    <row r="21" ht="56.25" customHeight="1">
      <c r="A21" s="432"/>
      <c r="B21" s="394"/>
      <c r="C21" s="19">
        <v>3</v>
      </c>
      <c r="D21" s="261" t="s">
        <v>104</v>
      </c>
      <c r="E21" s="435">
        <v>0.5</v>
      </c>
      <c r="F21" s="358" t="s">
        <v>24</v>
      </c>
      <c r="G21" s="237" t="s">
        <v>291</v>
      </c>
      <c r="H21" s="19" t="s">
        <v>62</v>
      </c>
      <c r="I21" s="261" t="s">
        <v>63</v>
      </c>
    </row>
    <row r="22" ht="42.75">
      <c r="A22" s="432"/>
      <c r="B22" s="394"/>
      <c r="C22" s="19">
        <v>4</v>
      </c>
      <c r="D22" s="402" t="s">
        <v>94</v>
      </c>
      <c r="E22" s="395" t="s">
        <v>250</v>
      </c>
      <c r="F22" s="436" t="s">
        <v>292</v>
      </c>
      <c r="G22" s="401" t="s">
        <v>293</v>
      </c>
      <c r="H22" s="19" t="s">
        <v>62</v>
      </c>
      <c r="I22" s="265" t="s">
        <v>66</v>
      </c>
    </row>
    <row r="23" ht="96" customHeight="1">
      <c r="A23" s="432"/>
      <c r="B23" s="394"/>
      <c r="C23" s="19">
        <v>5</v>
      </c>
      <c r="D23" s="261" t="s">
        <v>65</v>
      </c>
      <c r="E23" s="437">
        <v>0.39000000000000001</v>
      </c>
      <c r="F23" s="327" t="s">
        <v>13</v>
      </c>
      <c r="G23" s="309" t="s">
        <v>294</v>
      </c>
      <c r="H23" s="19" t="s">
        <v>62</v>
      </c>
      <c r="I23" s="229" t="s">
        <v>66</v>
      </c>
    </row>
    <row r="24" ht="28.5">
      <c r="A24" s="432"/>
      <c r="B24" s="394"/>
      <c r="C24" s="19">
        <v>6</v>
      </c>
      <c r="D24" s="261" t="s">
        <v>79</v>
      </c>
      <c r="E24" s="438" t="s">
        <v>250</v>
      </c>
      <c r="F24" s="436" t="s">
        <v>292</v>
      </c>
      <c r="G24" s="396" t="s">
        <v>295</v>
      </c>
      <c r="H24" s="19" t="s">
        <v>62</v>
      </c>
      <c r="I24" s="243" t="s">
        <v>63</v>
      </c>
    </row>
    <row r="25" ht="28.5">
      <c r="A25" s="432"/>
      <c r="B25" s="394"/>
      <c r="C25" s="19">
        <v>7</v>
      </c>
      <c r="D25" s="261" t="s">
        <v>100</v>
      </c>
      <c r="E25" s="439" t="s">
        <v>250</v>
      </c>
      <c r="F25" s="436" t="s">
        <v>292</v>
      </c>
      <c r="G25" s="347" t="s">
        <v>279</v>
      </c>
      <c r="H25" s="19" t="s">
        <v>62</v>
      </c>
      <c r="I25" s="243" t="s">
        <v>63</v>
      </c>
    </row>
    <row r="26" ht="85.5">
      <c r="A26" s="432"/>
      <c r="B26" s="394"/>
      <c r="C26" s="19">
        <v>8</v>
      </c>
      <c r="D26" s="206" t="s">
        <v>90</v>
      </c>
      <c r="E26" s="395" t="s">
        <v>250</v>
      </c>
      <c r="F26" s="436" t="s">
        <v>251</v>
      </c>
      <c r="G26" s="260" t="s">
        <v>296</v>
      </c>
      <c r="H26" s="19" t="s">
        <v>62</v>
      </c>
      <c r="I26" s="243" t="s">
        <v>70</v>
      </c>
    </row>
    <row r="27" ht="52.5" customHeight="1">
      <c r="A27" s="432"/>
      <c r="B27" s="394"/>
      <c r="C27" s="19">
        <v>9</v>
      </c>
      <c r="D27" s="206" t="s">
        <v>98</v>
      </c>
      <c r="E27" s="392">
        <v>1</v>
      </c>
      <c r="F27" s="287" t="s">
        <v>30</v>
      </c>
      <c r="G27" s="268" t="s">
        <v>297</v>
      </c>
      <c r="H27" s="19" t="s">
        <v>62</v>
      </c>
      <c r="I27" s="243" t="s">
        <v>70</v>
      </c>
    </row>
    <row r="28" ht="28.5">
      <c r="A28" s="432"/>
      <c r="B28" s="394"/>
      <c r="C28" s="101">
        <v>10</v>
      </c>
      <c r="D28" s="205" t="s">
        <v>82</v>
      </c>
      <c r="E28" s="439" t="s">
        <v>250</v>
      </c>
      <c r="F28" s="436" t="s">
        <v>292</v>
      </c>
      <c r="G28" s="82" t="s">
        <v>298</v>
      </c>
      <c r="H28" s="19" t="s">
        <v>62</v>
      </c>
      <c r="I28" s="243" t="s">
        <v>66</v>
      </c>
    </row>
    <row r="29" ht="57">
      <c r="A29" s="432"/>
      <c r="B29" s="394"/>
      <c r="C29" s="101">
        <v>11</v>
      </c>
      <c r="D29" s="205" t="s">
        <v>69</v>
      </c>
      <c r="E29" s="392">
        <v>1</v>
      </c>
      <c r="F29" s="287" t="s">
        <v>30</v>
      </c>
      <c r="G29" s="205" t="s">
        <v>299</v>
      </c>
      <c r="H29" s="19" t="s">
        <v>62</v>
      </c>
      <c r="I29" s="243" t="s">
        <v>70</v>
      </c>
    </row>
    <row r="30" ht="28.5">
      <c r="A30" s="432"/>
      <c r="B30" s="394"/>
      <c r="C30" s="101">
        <v>12</v>
      </c>
      <c r="D30" s="205" t="s">
        <v>61</v>
      </c>
      <c r="E30" s="439" t="s">
        <v>250</v>
      </c>
      <c r="F30" s="436" t="s">
        <v>292</v>
      </c>
      <c r="G30" s="82" t="s">
        <v>282</v>
      </c>
      <c r="H30" s="19" t="s">
        <v>62</v>
      </c>
      <c r="I30" s="243" t="s">
        <v>70</v>
      </c>
    </row>
    <row r="31" ht="28.5">
      <c r="A31" s="432"/>
      <c r="B31" s="394"/>
      <c r="C31" s="101">
        <v>13</v>
      </c>
      <c r="D31" s="205" t="s">
        <v>67</v>
      </c>
      <c r="E31" s="372">
        <v>0</v>
      </c>
      <c r="F31" s="372" t="s">
        <v>58</v>
      </c>
      <c r="G31" s="82" t="s">
        <v>300</v>
      </c>
      <c r="H31" s="19" t="s">
        <v>62</v>
      </c>
      <c r="I31" s="68" t="s">
        <v>66</v>
      </c>
    </row>
    <row r="32" ht="30">
      <c r="A32" s="432"/>
      <c r="B32" s="394"/>
      <c r="C32" s="101">
        <v>14</v>
      </c>
      <c r="D32" s="205" t="s">
        <v>85</v>
      </c>
      <c r="E32" s="392">
        <v>1</v>
      </c>
      <c r="F32" s="287" t="s">
        <v>30</v>
      </c>
      <c r="G32" s="82" t="s">
        <v>301</v>
      </c>
      <c r="H32" s="19" t="s">
        <v>62</v>
      </c>
      <c r="I32" s="68" t="s">
        <v>70</v>
      </c>
    </row>
    <row r="33" ht="42.75">
      <c r="A33" s="432"/>
      <c r="B33" s="394"/>
      <c r="C33" s="101">
        <v>15</v>
      </c>
      <c r="D33" s="205" t="s">
        <v>185</v>
      </c>
      <c r="E33" s="392">
        <v>1</v>
      </c>
      <c r="F33" s="287" t="s">
        <v>30</v>
      </c>
      <c r="G33" s="82" t="s">
        <v>302</v>
      </c>
      <c r="H33" s="19" t="s">
        <v>62</v>
      </c>
      <c r="I33" s="68" t="s">
        <v>63</v>
      </c>
    </row>
    <row r="34" ht="42.75">
      <c r="A34" s="432"/>
      <c r="B34" s="394"/>
      <c r="C34" s="101">
        <v>16</v>
      </c>
      <c r="D34" s="205" t="s">
        <v>72</v>
      </c>
      <c r="E34" s="440">
        <v>0.31</v>
      </c>
      <c r="F34" s="441" t="s">
        <v>13</v>
      </c>
      <c r="G34" s="205" t="s">
        <v>303</v>
      </c>
      <c r="H34" s="19" t="s">
        <v>62</v>
      </c>
      <c r="I34" s="209" t="s">
        <v>66</v>
      </c>
    </row>
    <row r="35" ht="57">
      <c r="A35" s="432"/>
      <c r="B35" s="394"/>
      <c r="C35" s="101">
        <v>17</v>
      </c>
      <c r="D35" s="205" t="s">
        <v>88</v>
      </c>
      <c r="E35" s="317">
        <v>0.5</v>
      </c>
      <c r="F35" s="442" t="s">
        <v>24</v>
      </c>
      <c r="G35" s="205" t="s">
        <v>304</v>
      </c>
      <c r="H35" s="19" t="s">
        <v>62</v>
      </c>
      <c r="I35" s="209" t="s">
        <v>66</v>
      </c>
    </row>
    <row r="36" ht="114">
      <c r="A36" s="432"/>
      <c r="B36" s="394"/>
      <c r="C36" s="101">
        <v>18</v>
      </c>
      <c r="D36" s="205" t="s">
        <v>93</v>
      </c>
      <c r="E36" s="440">
        <v>0.44</v>
      </c>
      <c r="F36" s="441" t="s">
        <v>13</v>
      </c>
      <c r="G36" s="205" t="s">
        <v>305</v>
      </c>
      <c r="H36" s="19" t="s">
        <v>62</v>
      </c>
      <c r="I36" s="209" t="s">
        <v>66</v>
      </c>
    </row>
    <row r="37" ht="42.75">
      <c r="A37" s="432"/>
      <c r="B37" s="394"/>
      <c r="C37" s="101">
        <v>19</v>
      </c>
      <c r="D37" s="205" t="s">
        <v>80</v>
      </c>
      <c r="E37" s="392">
        <v>1</v>
      </c>
      <c r="F37" s="287" t="s">
        <v>30</v>
      </c>
      <c r="G37" s="205" t="s">
        <v>306</v>
      </c>
      <c r="H37" s="19" t="s">
        <v>62</v>
      </c>
      <c r="I37" s="209" t="s">
        <v>70</v>
      </c>
    </row>
    <row r="38" ht="128.25">
      <c r="A38" s="432"/>
      <c r="B38" s="394"/>
      <c r="C38" s="101">
        <v>20</v>
      </c>
      <c r="D38" s="205" t="s">
        <v>91</v>
      </c>
      <c r="E38" s="372">
        <v>0</v>
      </c>
      <c r="F38" s="372" t="s">
        <v>58</v>
      </c>
      <c r="G38" s="205" t="s">
        <v>307</v>
      </c>
      <c r="H38" s="19" t="s">
        <v>62</v>
      </c>
      <c r="I38" s="209" t="s">
        <v>66</v>
      </c>
    </row>
    <row r="39" ht="42.75">
      <c r="A39" s="432"/>
      <c r="B39" s="394"/>
      <c r="C39" s="101">
        <v>21</v>
      </c>
      <c r="D39" s="205" t="s">
        <v>92</v>
      </c>
      <c r="E39" s="440">
        <v>0.37</v>
      </c>
      <c r="F39" s="441" t="s">
        <v>13</v>
      </c>
      <c r="G39" s="205" t="s">
        <v>308</v>
      </c>
      <c r="H39" s="19" t="s">
        <v>62</v>
      </c>
      <c r="I39" s="209" t="s">
        <v>63</v>
      </c>
    </row>
    <row r="40" ht="57">
      <c r="A40" s="432"/>
      <c r="B40" s="394"/>
      <c r="C40" s="101">
        <v>22</v>
      </c>
      <c r="D40" s="82" t="s">
        <v>74</v>
      </c>
      <c r="E40" s="392">
        <v>1</v>
      </c>
      <c r="F40" s="287" t="s">
        <v>30</v>
      </c>
      <c r="G40" s="82" t="s">
        <v>309</v>
      </c>
      <c r="H40" s="19" t="s">
        <v>62</v>
      </c>
      <c r="I40" s="68" t="s">
        <v>63</v>
      </c>
    </row>
    <row r="41" ht="42.75">
      <c r="A41" s="432"/>
      <c r="B41" s="394"/>
      <c r="C41" s="101">
        <v>23</v>
      </c>
      <c r="D41" s="82" t="s">
        <v>84</v>
      </c>
      <c r="E41" s="392">
        <v>0.93999999999999995</v>
      </c>
      <c r="F41" s="287" t="s">
        <v>30</v>
      </c>
      <c r="G41" s="205" t="s">
        <v>310</v>
      </c>
      <c r="H41" s="19" t="s">
        <v>62</v>
      </c>
      <c r="I41" s="68" t="s">
        <v>70</v>
      </c>
    </row>
    <row r="42" ht="114">
      <c r="A42" s="432"/>
      <c r="B42" s="394"/>
      <c r="C42" s="101">
        <v>24</v>
      </c>
      <c r="D42" s="82" t="s">
        <v>77</v>
      </c>
      <c r="E42" s="443" t="s">
        <v>250</v>
      </c>
      <c r="F42" s="209" t="s">
        <v>251</v>
      </c>
      <c r="G42" s="205" t="s">
        <v>311</v>
      </c>
      <c r="H42" s="19" t="s">
        <v>62</v>
      </c>
      <c r="I42" s="209" t="s">
        <v>70</v>
      </c>
    </row>
    <row r="43" ht="42.75">
      <c r="A43" s="432"/>
      <c r="B43" s="394"/>
      <c r="C43" s="101">
        <v>25</v>
      </c>
      <c r="D43" s="205" t="s">
        <v>76</v>
      </c>
      <c r="E43" s="392">
        <v>1</v>
      </c>
      <c r="F43" s="287" t="s">
        <v>30</v>
      </c>
      <c r="G43" s="82" t="s">
        <v>312</v>
      </c>
      <c r="H43" s="19" t="s">
        <v>62</v>
      </c>
      <c r="I43" s="68" t="s">
        <v>70</v>
      </c>
    </row>
    <row r="44" ht="85.5">
      <c r="A44" s="420"/>
      <c r="B44" s="405"/>
      <c r="C44" s="101">
        <v>26</v>
      </c>
      <c r="D44" s="206" t="s">
        <v>96</v>
      </c>
      <c r="E44" s="378">
        <v>0.71999999999999997</v>
      </c>
      <c r="F44" s="379" t="s">
        <v>27</v>
      </c>
      <c r="G44" s="82" t="s">
        <v>313</v>
      </c>
      <c r="H44" s="19" t="s">
        <v>62</v>
      </c>
      <c r="I44" s="209" t="s">
        <v>66</v>
      </c>
    </row>
    <row r="45" ht="15">
      <c r="A45" s="444"/>
      <c r="B45" s="445"/>
      <c r="C45" s="446"/>
      <c r="D45" s="447"/>
      <c r="E45" s="448">
        <f>(E19+E20+E21+E23+E27+E29+E31+E32+E33+E34+E35+E36+E37+E38+E39+E40+E41+E43+E44)/19</f>
        <v>0.63473684210526304</v>
      </c>
      <c r="F45" s="446"/>
      <c r="G45" s="446"/>
      <c r="H45" s="446"/>
      <c r="I45" s="446"/>
    </row>
    <row r="46" ht="15">
      <c r="A46" s="324" t="s">
        <v>193</v>
      </c>
      <c r="B46" s="278"/>
      <c r="C46" s="278"/>
      <c r="D46" s="278"/>
      <c r="E46" s="278"/>
      <c r="F46" s="278"/>
      <c r="G46" s="278"/>
      <c r="H46" s="278"/>
      <c r="I46" s="278"/>
    </row>
    <row r="47" ht="14.25">
      <c r="A47" s="411" t="s">
        <v>242</v>
      </c>
      <c r="B47" s="412" t="s">
        <v>285</v>
      </c>
      <c r="C47" s="413"/>
      <c r="D47" s="414"/>
      <c r="E47" s="449">
        <v>0.63</v>
      </c>
      <c r="F47" s="450" t="s">
        <v>24</v>
      </c>
      <c r="G47" s="417" t="s">
        <v>314</v>
      </c>
      <c r="H47" s="418"/>
      <c r="I47" s="419"/>
    </row>
    <row r="48" ht="57" customHeight="1">
      <c r="A48" s="420"/>
      <c r="B48" s="421"/>
      <c r="C48" s="422"/>
      <c r="D48" s="423"/>
      <c r="E48" s="451"/>
      <c r="F48" s="452"/>
      <c r="G48" s="426"/>
      <c r="H48" s="427"/>
      <c r="I48" s="428"/>
    </row>
    <row r="49" ht="14.25"/>
    <row r="50" ht="14.25"/>
    <row r="51" ht="14.25"/>
  </sheetData>
  <mergeCells count="18">
    <mergeCell ref="A1:I1"/>
    <mergeCell ref="E2:F2"/>
    <mergeCell ref="A3:A11"/>
    <mergeCell ref="B3:B11"/>
    <mergeCell ref="A14:A15"/>
    <mergeCell ref="B14:D15"/>
    <mergeCell ref="E14:E15"/>
    <mergeCell ref="F14:F15"/>
    <mergeCell ref="G14:I15"/>
    <mergeCell ref="A17:I17"/>
    <mergeCell ref="E18:F18"/>
    <mergeCell ref="A19:A44"/>
    <mergeCell ref="B19:B44"/>
    <mergeCell ref="A47:A48"/>
    <mergeCell ref="B47:D48"/>
    <mergeCell ref="E47:E48"/>
    <mergeCell ref="F47:F48"/>
    <mergeCell ref="G47: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5D002D-00C8-4E8D-8A7D-0006005900BF}">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BE00D5-00E7-4357-A566-009E00590003}">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DF0005-0027-4711-8269-00C60018008C}">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800097-00BD-48C1-97C0-009F00130072}">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5" text="Выше среднего" id="{00680000-0019-4E65-A263-00EC009D0016}">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120088-006A-4A86-A322-0095009E0072}">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E80073-00C9-4876-B9BA-00C3004F0082}">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E5001E-0054-4DCF-B457-00BD001200DC}">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4" text="Средний уровень" id="{009600C0-0088-4024-B7B5-0088000A00F2}">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4100BF-00E9-4CBF-ABFE-006000550027}">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280096-0049-4F4B-BD84-00D500820038}">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990010-00E3-4EA7-BC6F-00C50053005B}">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3" text="Ниже среднего" id="{004800A8-00B1-4B21-88CF-00F1009900EE}">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2A0006-00B4-4FF2-9831-00F500090006}">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8000AA-006E-4625-ABFA-00D800DC0037}">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410002-00BC-4953-A81C-00AB007000C1}">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2" text="Низкий уровень" id="{00AA00BF-00FC-44A4-B58F-005300F30055}">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A00021-0075-4269-93DF-006F00B40005}">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2800F7-00CD-4367-B30F-002200F90051}">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B300D2-0092-485E-9E29-009000A2003D}">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1" text="Невозможно измерить" id="{002600D3-00E9-4821-A827-002A00250085}">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0900A6-003E-4AB8-A758-001D0042009D}">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D300C6-0077-4096-8C2E-008000C90037}">
            <xm:f>NOT(ISERROR(SEARCH("Невозможно измерить",D9)))</xm:f>
            <x14:dxf>
              <fill>
                <patternFill patternType="solid">
                  <fgColor rgb="FF7F7F7F"/>
                  <bgColor rgb="FF7F7F7F"/>
                </patternFill>
              </fill>
            </x14:dxf>
          </x14:cfRule>
          <xm:sqref>F16</xm:sqref>
        </x14:conditionalFormatting>
        <x14:conditionalFormatting xmlns:xm="http://schemas.microsoft.com/office/excel/2006/main">
          <x14:cfRule type="containsText" priority="1" text="Невозможно измерить" id="{006F002B-0035-41E9-90B8-006300570019}">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DC00A3-006C-4A3E-B9DE-00980055005B}">
            <xm:f>NOT(ISERROR(SEARCH("Невозможно измерить",D9)))</xm:f>
            <x14:dxf>
              <fill>
                <patternFill patternType="solid">
                  <fgColor rgb="FF7F7F7F"/>
                  <bgColor rgb="FF7F7F7F"/>
                </patternFill>
              </fill>
            </x14:dxf>
          </x14:cfRule>
          <xm:sqref>F46</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3" zoomScale="100" workbookViewId="0">
      <selection activeCell="A1" activeCellId="0" sqref="A1"/>
    </sheetView>
  </sheetViews>
  <sheetFormatPr defaultRowHeight="14.25"/>
  <cols>
    <col customWidth="1" min="1" max="1" width="19.421875"/>
    <col customWidth="1" min="2" max="2" style="214" width="15.7109375"/>
    <col customWidth="1" min="3" max="3" style="105" width="7.00390625"/>
    <col customWidth="1" min="4" max="4" style="214" width="23.57421875"/>
    <col customWidth="1" min="5" max="5" width="11.28125"/>
    <col customWidth="1" min="6" max="6" width="19.140625"/>
    <col customWidth="1" min="7" max="7" width="94.140625"/>
    <col customWidth="1" min="8" max="8" width="7.140625"/>
    <col customWidth="1" min="9" max="9" style="215" width="27.140625"/>
    <col customWidth="1" min="10" max="10" width="31.57421875"/>
  </cols>
  <sheetData>
    <row r="1" ht="2.25" customHeight="1"/>
    <row r="2" ht="2.25" customHeight="1"/>
    <row r="3" ht="34.5" customHeight="1">
      <c r="A3" s="216" t="s">
        <v>153</v>
      </c>
      <c r="B3" s="216"/>
      <c r="C3" s="216"/>
      <c r="D3" s="216"/>
      <c r="E3" s="216"/>
      <c r="F3" s="216"/>
      <c r="G3" s="216"/>
      <c r="H3" s="216"/>
      <c r="I3" s="216"/>
    </row>
    <row r="4" ht="30">
      <c r="A4" s="285" t="s">
        <v>154</v>
      </c>
      <c r="B4" s="285" t="s">
        <v>127</v>
      </c>
      <c r="C4" s="285" t="s">
        <v>196</v>
      </c>
      <c r="D4" s="223" t="s">
        <v>155</v>
      </c>
      <c r="E4" s="221" t="s">
        <v>8</v>
      </c>
      <c r="F4" s="222"/>
      <c r="G4" s="223" t="s">
        <v>156</v>
      </c>
      <c r="H4" s="223" t="s">
        <v>230</v>
      </c>
      <c r="I4" s="223" t="s">
        <v>158</v>
      </c>
    </row>
    <row r="5" ht="42.75">
      <c r="A5" s="411" t="s">
        <v>231</v>
      </c>
      <c r="B5" s="391" t="s">
        <v>315</v>
      </c>
      <c r="C5" s="19">
        <v>1</v>
      </c>
      <c r="D5" s="261" t="s">
        <v>29</v>
      </c>
      <c r="E5" s="287">
        <v>1</v>
      </c>
      <c r="F5" s="392" t="s">
        <v>30</v>
      </c>
      <c r="G5" s="347" t="s">
        <v>316</v>
      </c>
      <c r="H5" s="292" t="s">
        <v>14</v>
      </c>
      <c r="I5" s="147" t="s">
        <v>15</v>
      </c>
    </row>
    <row r="6" ht="92.25" customHeight="1">
      <c r="A6" s="432"/>
      <c r="B6" s="394"/>
      <c r="C6" s="19">
        <v>2</v>
      </c>
      <c r="D6" s="261" t="s">
        <v>26</v>
      </c>
      <c r="E6" s="287">
        <v>1</v>
      </c>
      <c r="F6" s="392" t="s">
        <v>30</v>
      </c>
      <c r="G6" s="261" t="s">
        <v>317</v>
      </c>
      <c r="H6" s="292" t="s">
        <v>14</v>
      </c>
      <c r="I6" s="147" t="s">
        <v>15</v>
      </c>
    </row>
    <row r="7" ht="71.25">
      <c r="A7" s="432"/>
      <c r="B7" s="394"/>
      <c r="C7" s="19">
        <v>3</v>
      </c>
      <c r="D7" s="261" t="s">
        <v>12</v>
      </c>
      <c r="E7" s="453">
        <v>0.80000000000000004</v>
      </c>
      <c r="F7" s="454" t="s">
        <v>27</v>
      </c>
      <c r="G7" s="264" t="s">
        <v>318</v>
      </c>
      <c r="H7" s="292" t="s">
        <v>14</v>
      </c>
      <c r="I7" s="147" t="s">
        <v>15</v>
      </c>
    </row>
    <row r="8" ht="69.75" customHeight="1">
      <c r="A8" s="432"/>
      <c r="B8" s="394"/>
      <c r="C8" s="19">
        <v>4</v>
      </c>
      <c r="D8" s="260" t="s">
        <v>20</v>
      </c>
      <c r="E8" s="455">
        <v>0.95999999999999996</v>
      </c>
      <c r="F8" s="345" t="s">
        <v>30</v>
      </c>
      <c r="G8" s="401" t="s">
        <v>319</v>
      </c>
      <c r="H8" s="292" t="s">
        <v>14</v>
      </c>
      <c r="I8" s="147" t="s">
        <v>15</v>
      </c>
    </row>
    <row r="9" ht="63" customHeight="1">
      <c r="A9" s="432"/>
      <c r="B9" s="394"/>
      <c r="C9" s="19">
        <v>5</v>
      </c>
      <c r="D9" s="27" t="s">
        <v>23</v>
      </c>
      <c r="E9" s="158">
        <v>0</v>
      </c>
      <c r="F9" s="456" t="s">
        <v>58</v>
      </c>
      <c r="G9" s="347" t="s">
        <v>320</v>
      </c>
      <c r="H9" s="292" t="s">
        <v>14</v>
      </c>
      <c r="I9" s="147" t="s">
        <v>15</v>
      </c>
    </row>
    <row r="10" ht="85.5" customHeight="1">
      <c r="A10" s="432"/>
      <c r="B10" s="394"/>
      <c r="C10" s="19">
        <v>6</v>
      </c>
      <c r="D10" s="457" t="s">
        <v>22</v>
      </c>
      <c r="E10" s="458">
        <v>0</v>
      </c>
      <c r="F10" s="459" t="s">
        <v>161</v>
      </c>
      <c r="G10" s="460" t="s">
        <v>321</v>
      </c>
      <c r="H10" s="292" t="s">
        <v>14</v>
      </c>
      <c r="I10" s="147" t="s">
        <v>15</v>
      </c>
    </row>
    <row r="11" ht="99.75">
      <c r="A11" s="432"/>
      <c r="B11" s="394"/>
      <c r="C11" s="19">
        <v>7</v>
      </c>
      <c r="D11" s="261" t="s">
        <v>19</v>
      </c>
      <c r="E11" s="19" t="s">
        <v>250</v>
      </c>
      <c r="F11" s="461" t="s">
        <v>251</v>
      </c>
      <c r="G11" s="347" t="s">
        <v>322</v>
      </c>
      <c r="H11" s="292" t="s">
        <v>14</v>
      </c>
      <c r="I11" s="18" t="s">
        <v>15</v>
      </c>
    </row>
    <row r="12" ht="57">
      <c r="A12" s="432"/>
      <c r="B12" s="394"/>
      <c r="C12" s="19">
        <v>8</v>
      </c>
      <c r="D12" s="402" t="s">
        <v>32</v>
      </c>
      <c r="E12" s="19" t="s">
        <v>250</v>
      </c>
      <c r="F12" s="461" t="s">
        <v>251</v>
      </c>
      <c r="G12" s="268" t="s">
        <v>284</v>
      </c>
      <c r="H12" s="229" t="s">
        <v>168</v>
      </c>
      <c r="I12" s="147" t="s">
        <v>15</v>
      </c>
      <c r="J12" s="403"/>
    </row>
    <row r="13" ht="42.75">
      <c r="A13" s="420"/>
      <c r="B13" s="405"/>
      <c r="C13" s="19">
        <v>9</v>
      </c>
      <c r="D13" s="402" t="s">
        <v>17</v>
      </c>
      <c r="E13" s="287">
        <v>1</v>
      </c>
      <c r="F13" s="392" t="s">
        <v>30</v>
      </c>
      <c r="G13" s="268" t="s">
        <v>323</v>
      </c>
      <c r="H13" s="292" t="s">
        <v>14</v>
      </c>
      <c r="I13" s="147" t="s">
        <v>15</v>
      </c>
      <c r="J13" s="403"/>
    </row>
    <row r="14" ht="15">
      <c r="A14" s="275"/>
      <c r="B14" s="275"/>
      <c r="C14" s="275"/>
      <c r="D14" s="275"/>
      <c r="E14" s="462">
        <f>(E5+E6+E7+E8+E9+E10+E13)/7</f>
        <v>0.67999999999999994</v>
      </c>
      <c r="F14" s="275"/>
      <c r="G14" s="275"/>
      <c r="H14" s="275"/>
      <c r="I14" s="275"/>
    </row>
    <row r="15" ht="15">
      <c r="A15" s="463" t="s">
        <v>193</v>
      </c>
      <c r="B15" s="464"/>
      <c r="C15" s="464"/>
      <c r="D15" s="464"/>
      <c r="E15" s="464"/>
      <c r="F15" s="464"/>
      <c r="G15" s="464"/>
      <c r="H15" s="464"/>
      <c r="I15" s="465"/>
    </row>
    <row r="16" ht="46.5" customHeight="1">
      <c r="A16" s="156" t="s">
        <v>324</v>
      </c>
      <c r="B16" s="147" t="s">
        <v>325</v>
      </c>
      <c r="C16" s="147"/>
      <c r="D16" s="147"/>
      <c r="E16" s="466">
        <v>0.68000000000000005</v>
      </c>
      <c r="F16" s="306" t="s">
        <v>27</v>
      </c>
      <c r="G16" s="72" t="s">
        <v>326</v>
      </c>
      <c r="H16" s="73"/>
      <c r="I16" s="74"/>
    </row>
    <row r="17" ht="14.25">
      <c r="B17" s="214"/>
      <c r="C17" s="105"/>
      <c r="D17" s="214"/>
      <c r="I17" s="215"/>
    </row>
    <row r="18" ht="15">
      <c r="A18" s="216" t="s">
        <v>327</v>
      </c>
      <c r="B18" s="216"/>
      <c r="C18" s="216"/>
      <c r="D18" s="216"/>
      <c r="E18" s="216"/>
      <c r="F18" s="216"/>
      <c r="G18" s="216"/>
      <c r="H18" s="216"/>
      <c r="I18" s="216"/>
    </row>
    <row r="19" ht="30">
      <c r="A19" s="285" t="s">
        <v>154</v>
      </c>
      <c r="B19" s="285" t="s">
        <v>127</v>
      </c>
      <c r="C19" s="285" t="s">
        <v>196</v>
      </c>
      <c r="D19" s="223" t="s">
        <v>155</v>
      </c>
      <c r="E19" s="221" t="s">
        <v>8</v>
      </c>
      <c r="F19" s="222"/>
      <c r="G19" s="223" t="s">
        <v>156</v>
      </c>
      <c r="H19" s="223" t="s">
        <v>230</v>
      </c>
      <c r="I19" s="223" t="s">
        <v>158</v>
      </c>
    </row>
    <row r="20" ht="114">
      <c r="A20" s="390" t="s">
        <v>231</v>
      </c>
      <c r="B20" s="225" t="s">
        <v>328</v>
      </c>
      <c r="C20" s="19">
        <v>1</v>
      </c>
      <c r="D20" s="261" t="s">
        <v>173</v>
      </c>
      <c r="E20" s="453">
        <v>0.80000000000000004</v>
      </c>
      <c r="F20" s="467" t="s">
        <v>27</v>
      </c>
      <c r="G20" s="347" t="s">
        <v>329</v>
      </c>
      <c r="H20" s="292" t="s">
        <v>62</v>
      </c>
      <c r="I20" s="261" t="s">
        <v>66</v>
      </c>
    </row>
    <row r="21" ht="85.5">
      <c r="A21" s="393"/>
      <c r="B21" s="231"/>
      <c r="C21" s="19">
        <v>2</v>
      </c>
      <c r="D21" s="261" t="s">
        <v>211</v>
      </c>
      <c r="E21" s="287">
        <v>1</v>
      </c>
      <c r="F21" s="392" t="s">
        <v>30</v>
      </c>
      <c r="G21" s="261" t="s">
        <v>330</v>
      </c>
      <c r="H21" s="292" t="s">
        <v>62</v>
      </c>
      <c r="I21" s="261" t="s">
        <v>66</v>
      </c>
    </row>
    <row r="22" ht="42.75">
      <c r="A22" s="393"/>
      <c r="B22" s="231"/>
      <c r="C22" s="19">
        <v>3</v>
      </c>
      <c r="D22" s="261" t="s">
        <v>104</v>
      </c>
      <c r="E22" s="287">
        <v>1</v>
      </c>
      <c r="F22" s="392" t="s">
        <v>30</v>
      </c>
      <c r="G22" s="264" t="s">
        <v>331</v>
      </c>
      <c r="H22" s="19" t="s">
        <v>62</v>
      </c>
      <c r="I22" s="261" t="s">
        <v>63</v>
      </c>
    </row>
    <row r="23" ht="114">
      <c r="A23" s="393"/>
      <c r="B23" s="231"/>
      <c r="C23" s="19">
        <v>4</v>
      </c>
      <c r="D23" s="261" t="s">
        <v>94</v>
      </c>
      <c r="E23" s="287">
        <v>0.92000000000000004</v>
      </c>
      <c r="F23" s="288" t="s">
        <v>30</v>
      </c>
      <c r="G23" s="401" t="s">
        <v>332</v>
      </c>
      <c r="H23" s="19" t="s">
        <v>62</v>
      </c>
      <c r="I23" s="265" t="s">
        <v>66</v>
      </c>
    </row>
    <row r="24" ht="28.5">
      <c r="A24" s="393"/>
      <c r="B24" s="231"/>
      <c r="C24" s="19">
        <v>5</v>
      </c>
      <c r="D24" s="457" t="s">
        <v>65</v>
      </c>
      <c r="E24" s="287">
        <v>1</v>
      </c>
      <c r="F24" s="288" t="s">
        <v>30</v>
      </c>
      <c r="G24" s="309" t="s">
        <v>333</v>
      </c>
      <c r="H24" s="19" t="s">
        <v>62</v>
      </c>
      <c r="I24" s="229" t="s">
        <v>66</v>
      </c>
    </row>
    <row r="25" ht="42.75">
      <c r="A25" s="393"/>
      <c r="B25" s="231"/>
      <c r="C25" s="19">
        <v>6</v>
      </c>
      <c r="D25" s="261" t="s">
        <v>79</v>
      </c>
      <c r="E25" s="287">
        <v>1</v>
      </c>
      <c r="F25" s="288" t="s">
        <v>30</v>
      </c>
      <c r="G25" s="264" t="s">
        <v>334</v>
      </c>
      <c r="H25" s="19" t="s">
        <v>62</v>
      </c>
      <c r="I25" s="243" t="s">
        <v>63</v>
      </c>
    </row>
    <row r="26" ht="42.75">
      <c r="A26" s="393"/>
      <c r="B26" s="231"/>
      <c r="C26" s="19">
        <v>7</v>
      </c>
      <c r="D26" s="402" t="s">
        <v>100</v>
      </c>
      <c r="E26" s="287">
        <v>1</v>
      </c>
      <c r="F26" s="288" t="s">
        <v>30</v>
      </c>
      <c r="G26" s="260" t="s">
        <v>317</v>
      </c>
      <c r="H26" s="406"/>
      <c r="I26" s="243" t="s">
        <v>63</v>
      </c>
    </row>
    <row r="27" ht="128.25">
      <c r="A27" s="393"/>
      <c r="B27" s="231"/>
      <c r="C27" s="19">
        <v>8</v>
      </c>
      <c r="D27" s="206" t="s">
        <v>90</v>
      </c>
      <c r="E27" s="287">
        <v>1</v>
      </c>
      <c r="F27" s="310" t="s">
        <v>30</v>
      </c>
      <c r="G27" s="260" t="s">
        <v>335</v>
      </c>
      <c r="H27" s="19" t="s">
        <v>62</v>
      </c>
      <c r="I27" s="243" t="s">
        <v>70</v>
      </c>
    </row>
    <row r="28" ht="99.75">
      <c r="A28" s="393"/>
      <c r="B28" s="231"/>
      <c r="C28" s="19">
        <v>9</v>
      </c>
      <c r="D28" s="206" t="s">
        <v>98</v>
      </c>
      <c r="E28" s="287">
        <v>0.98999999999999999</v>
      </c>
      <c r="F28" s="310" t="s">
        <v>30</v>
      </c>
      <c r="G28" s="260" t="s">
        <v>336</v>
      </c>
      <c r="H28" s="19" t="s">
        <v>62</v>
      </c>
      <c r="I28" s="243" t="s">
        <v>70</v>
      </c>
    </row>
    <row r="29" ht="42.75">
      <c r="A29" s="393"/>
      <c r="B29" s="231"/>
      <c r="C29" s="101">
        <v>10</v>
      </c>
      <c r="D29" s="98" t="s">
        <v>82</v>
      </c>
      <c r="E29" s="287">
        <v>1</v>
      </c>
      <c r="F29" s="310" t="s">
        <v>30</v>
      </c>
      <c r="G29" s="82" t="s">
        <v>298</v>
      </c>
      <c r="H29" s="19" t="s">
        <v>62</v>
      </c>
      <c r="I29" s="243" t="s">
        <v>66</v>
      </c>
    </row>
    <row r="30" ht="85.5">
      <c r="A30" s="393"/>
      <c r="B30" s="231"/>
      <c r="C30" s="101">
        <v>11</v>
      </c>
      <c r="D30" s="98" t="s">
        <v>69</v>
      </c>
      <c r="E30" s="381">
        <v>0.90000000000000002</v>
      </c>
      <c r="F30" s="310" t="s">
        <v>30</v>
      </c>
      <c r="G30" s="205" t="s">
        <v>337</v>
      </c>
      <c r="H30" s="19" t="s">
        <v>62</v>
      </c>
      <c r="I30" s="243" t="s">
        <v>70</v>
      </c>
    </row>
    <row r="31" ht="57">
      <c r="A31" s="393"/>
      <c r="B31" s="231"/>
      <c r="C31" s="101">
        <v>12</v>
      </c>
      <c r="D31" s="206" t="s">
        <v>61</v>
      </c>
      <c r="E31" s="287">
        <v>1</v>
      </c>
      <c r="F31" s="310" t="s">
        <v>30</v>
      </c>
      <c r="G31" s="205" t="s">
        <v>338</v>
      </c>
      <c r="H31" s="19" t="s">
        <v>62</v>
      </c>
      <c r="I31" s="243" t="s">
        <v>70</v>
      </c>
    </row>
    <row r="32" ht="28.5">
      <c r="A32" s="393"/>
      <c r="B32" s="231"/>
      <c r="C32" s="101">
        <v>13</v>
      </c>
      <c r="D32" s="206" t="s">
        <v>67</v>
      </c>
      <c r="E32" s="468">
        <v>0</v>
      </c>
      <c r="F32" s="468" t="s">
        <v>58</v>
      </c>
      <c r="G32" s="82" t="s">
        <v>300</v>
      </c>
      <c r="H32" s="19" t="s">
        <v>62</v>
      </c>
      <c r="I32" s="209" t="s">
        <v>66</v>
      </c>
    </row>
    <row r="33" ht="42.75">
      <c r="A33" s="393"/>
      <c r="B33" s="231"/>
      <c r="C33" s="101">
        <v>14</v>
      </c>
      <c r="D33" s="98" t="s">
        <v>85</v>
      </c>
      <c r="E33" s="319">
        <v>0.98999999999999999</v>
      </c>
      <c r="F33" s="310" t="s">
        <v>30</v>
      </c>
      <c r="G33" s="209" t="s">
        <v>339</v>
      </c>
      <c r="H33" s="19" t="s">
        <v>62</v>
      </c>
      <c r="I33" s="209" t="s">
        <v>70</v>
      </c>
    </row>
    <row r="34" ht="71.25">
      <c r="A34" s="393"/>
      <c r="B34" s="231"/>
      <c r="C34" s="101">
        <v>15</v>
      </c>
      <c r="D34" s="98" t="s">
        <v>185</v>
      </c>
      <c r="E34" s="319">
        <v>0.98999999999999999</v>
      </c>
      <c r="F34" s="310" t="s">
        <v>30</v>
      </c>
      <c r="G34" s="205" t="s">
        <v>340</v>
      </c>
      <c r="H34" s="19" t="s">
        <v>62</v>
      </c>
      <c r="I34" s="209" t="s">
        <v>63</v>
      </c>
    </row>
    <row r="35" ht="57">
      <c r="A35" s="393"/>
      <c r="B35" s="231"/>
      <c r="C35" s="101">
        <v>16</v>
      </c>
      <c r="D35" s="98" t="s">
        <v>72</v>
      </c>
      <c r="E35" s="381">
        <v>0.94999999999999996</v>
      </c>
      <c r="F35" s="381" t="s">
        <v>30</v>
      </c>
      <c r="G35" s="205" t="s">
        <v>341</v>
      </c>
      <c r="H35" s="19" t="s">
        <v>62</v>
      </c>
      <c r="I35" s="209" t="s">
        <v>66</v>
      </c>
    </row>
    <row r="36" ht="71.25">
      <c r="A36" s="393"/>
      <c r="B36" s="231"/>
      <c r="C36" s="101">
        <v>17</v>
      </c>
      <c r="D36" s="98" t="s">
        <v>88</v>
      </c>
      <c r="E36" s="381">
        <v>1</v>
      </c>
      <c r="F36" s="381" t="s">
        <v>30</v>
      </c>
      <c r="G36" s="82" t="s">
        <v>342</v>
      </c>
      <c r="H36" s="19" t="s">
        <v>62</v>
      </c>
      <c r="I36" s="209" t="s">
        <v>66</v>
      </c>
    </row>
    <row r="37" ht="85.5">
      <c r="A37" s="393"/>
      <c r="B37" s="231"/>
      <c r="C37" s="101">
        <v>18</v>
      </c>
      <c r="D37" s="98" t="s">
        <v>93</v>
      </c>
      <c r="E37" s="381">
        <v>0.95999999999999996</v>
      </c>
      <c r="F37" s="381" t="s">
        <v>30</v>
      </c>
      <c r="G37" s="82" t="s">
        <v>305</v>
      </c>
      <c r="H37" s="19" t="s">
        <v>62</v>
      </c>
      <c r="I37" s="209" t="s">
        <v>66</v>
      </c>
    </row>
    <row r="38" ht="57">
      <c r="A38" s="393"/>
      <c r="B38" s="231"/>
      <c r="C38" s="101">
        <v>19</v>
      </c>
      <c r="D38" s="98" t="s">
        <v>80</v>
      </c>
      <c r="E38" s="381">
        <v>0.92000000000000004</v>
      </c>
      <c r="F38" s="381" t="s">
        <v>30</v>
      </c>
      <c r="G38" s="82" t="s">
        <v>343</v>
      </c>
      <c r="H38" s="19" t="s">
        <v>62</v>
      </c>
      <c r="I38" s="209" t="s">
        <v>70</v>
      </c>
    </row>
    <row r="39" ht="213.75">
      <c r="A39" s="393"/>
      <c r="B39" s="231"/>
      <c r="C39" s="101">
        <v>20</v>
      </c>
      <c r="D39" s="206" t="s">
        <v>91</v>
      </c>
      <c r="E39" s="381">
        <v>0.85999999999999999</v>
      </c>
      <c r="F39" s="381" t="s">
        <v>30</v>
      </c>
      <c r="G39" s="82" t="s">
        <v>344</v>
      </c>
      <c r="H39" s="19" t="s">
        <v>62</v>
      </c>
      <c r="I39" s="209" t="s">
        <v>66</v>
      </c>
    </row>
    <row r="40" ht="99.75">
      <c r="A40" s="393"/>
      <c r="B40" s="231"/>
      <c r="C40" s="101">
        <v>21</v>
      </c>
      <c r="D40" s="98" t="s">
        <v>92</v>
      </c>
      <c r="E40" s="381">
        <v>0.92000000000000004</v>
      </c>
      <c r="F40" s="381" t="s">
        <v>30</v>
      </c>
      <c r="G40" s="82" t="s">
        <v>345</v>
      </c>
      <c r="H40" s="19" t="s">
        <v>62</v>
      </c>
      <c r="I40" s="209" t="s">
        <v>63</v>
      </c>
    </row>
    <row r="41" ht="71.25">
      <c r="A41" s="393"/>
      <c r="B41" s="231"/>
      <c r="C41" s="101">
        <v>22</v>
      </c>
      <c r="D41" s="98" t="s">
        <v>74</v>
      </c>
      <c r="E41" s="381">
        <v>1</v>
      </c>
      <c r="F41" s="381" t="s">
        <v>30</v>
      </c>
      <c r="G41" s="209" t="s">
        <v>346</v>
      </c>
      <c r="H41" s="19" t="s">
        <v>62</v>
      </c>
      <c r="I41" s="209" t="s">
        <v>63</v>
      </c>
    </row>
    <row r="42" ht="57">
      <c r="A42" s="393"/>
      <c r="B42" s="231"/>
      <c r="C42" s="101">
        <v>23</v>
      </c>
      <c r="D42" s="98" t="s">
        <v>84</v>
      </c>
      <c r="E42" s="381">
        <v>0.95999999999999996</v>
      </c>
      <c r="F42" s="381" t="s">
        <v>30</v>
      </c>
      <c r="G42" s="82" t="s">
        <v>347</v>
      </c>
      <c r="H42" s="19" t="s">
        <v>62</v>
      </c>
      <c r="I42" s="209" t="s">
        <v>70</v>
      </c>
    </row>
    <row r="43" ht="156.75">
      <c r="A43" s="393"/>
      <c r="B43" s="231"/>
      <c r="C43" s="101">
        <v>24</v>
      </c>
      <c r="D43" s="98" t="s">
        <v>77</v>
      </c>
      <c r="E43" s="469">
        <v>1</v>
      </c>
      <c r="F43" s="381" t="s">
        <v>30</v>
      </c>
      <c r="G43" s="209" t="s">
        <v>348</v>
      </c>
      <c r="H43" s="19" t="s">
        <v>62</v>
      </c>
      <c r="I43" s="209" t="s">
        <v>70</v>
      </c>
    </row>
    <row r="44" ht="28.5">
      <c r="A44" s="393"/>
      <c r="B44" s="231"/>
      <c r="C44" s="101">
        <v>25</v>
      </c>
      <c r="D44" s="98" t="s">
        <v>76</v>
      </c>
      <c r="E44" s="379">
        <v>0.66000000000000003</v>
      </c>
      <c r="F44" s="379" t="s">
        <v>27</v>
      </c>
      <c r="G44" s="68" t="s">
        <v>349</v>
      </c>
      <c r="H44" s="19" t="s">
        <v>62</v>
      </c>
      <c r="I44" s="209" t="s">
        <v>70</v>
      </c>
    </row>
    <row r="45" ht="199.5">
      <c r="A45" s="404"/>
      <c r="B45" s="244"/>
      <c r="C45" s="101">
        <v>26</v>
      </c>
      <c r="D45" s="206" t="s">
        <v>96</v>
      </c>
      <c r="E45" s="381">
        <v>0.98999999999999999</v>
      </c>
      <c r="F45" s="381" t="s">
        <v>30</v>
      </c>
      <c r="G45" s="82" t="s">
        <v>350</v>
      </c>
      <c r="H45" s="19" t="s">
        <v>62</v>
      </c>
      <c r="I45" s="209" t="s">
        <v>66</v>
      </c>
    </row>
    <row r="46" ht="14.25">
      <c r="B46" s="214"/>
      <c r="C46" s="105"/>
      <c r="D46" s="214"/>
      <c r="E46" s="323">
        <f>(E20+E21+E22+E23+E24+E25+E26+E28+E27+E29+E30+E31+E32+E33+E34+E35+E36+E37+E38+E39+E40+E41+E42+E43+E44+E45)/26</f>
        <v>0.91576923076923089</v>
      </c>
      <c r="I46" s="215"/>
    </row>
    <row r="47" ht="15">
      <c r="A47" s="470" t="s">
        <v>193</v>
      </c>
      <c r="B47" s="471"/>
      <c r="C47" s="471"/>
      <c r="D47" s="471"/>
      <c r="E47" s="471"/>
      <c r="F47" s="471"/>
      <c r="G47" s="471"/>
      <c r="H47" s="471"/>
      <c r="I47" s="472"/>
    </row>
    <row r="48" ht="53.25" customHeight="1">
      <c r="A48" s="473" t="s">
        <v>324</v>
      </c>
      <c r="B48" s="474" t="s">
        <v>315</v>
      </c>
      <c r="C48" s="475"/>
      <c r="D48" s="476"/>
      <c r="E48" s="477">
        <v>0.92000000000000004</v>
      </c>
      <c r="F48" s="287" t="s">
        <v>30</v>
      </c>
      <c r="G48" s="168" t="s">
        <v>351</v>
      </c>
      <c r="H48" s="169"/>
      <c r="I48" s="170"/>
    </row>
    <row r="49" ht="14.25"/>
    <row r="50" ht="14.25"/>
    <row r="52" ht="14.25">
      <c r="B52" s="214"/>
      <c r="C52" s="105"/>
      <c r="D52" s="214"/>
      <c r="I52" s="215"/>
    </row>
    <row r="53" ht="14.25">
      <c r="B53" s="214"/>
      <c r="C53" s="105"/>
      <c r="D53" s="214"/>
      <c r="I53" s="215"/>
    </row>
  </sheetData>
  <mergeCells count="14">
    <mergeCell ref="A3:I3"/>
    <mergeCell ref="E4:F4"/>
    <mergeCell ref="A5:A13"/>
    <mergeCell ref="B5:B13"/>
    <mergeCell ref="A15:I15"/>
    <mergeCell ref="B16:D16"/>
    <mergeCell ref="G16:I16"/>
    <mergeCell ref="A18:I18"/>
    <mergeCell ref="E19:F19"/>
    <mergeCell ref="A20:A45"/>
    <mergeCell ref="B20:B45"/>
    <mergeCell ref="A47:I47"/>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360070-0089-45FF-8978-00E200C000AE}">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8000BB-009B-4167-85D1-00D500F00052}">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AF004B-0024-4454-AEBD-00F8001E00F2}">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FE0094-00CE-4B4F-BFB1-002B00E30079}">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5100C4-00D4-45FF-B3F1-00640076008F}">
            <xm:f>NOT(ISERROR(SEARCH("Высокий уровень",D9)))</xm:f>
            <x14:dxf>
              <fill>
                <patternFill patternType="solid">
                  <fgColor rgb="FF70AD47"/>
                  <bgColor rgb="FF70AD47"/>
                </patternFill>
              </fill>
            </x14:dxf>
          </x14:cfRule>
          <xm:sqref>F17</xm:sqref>
        </x14:conditionalFormatting>
        <x14:conditionalFormatting xmlns:xm="http://schemas.microsoft.com/office/excel/2006/main">
          <x14:cfRule type="containsText" priority="6" text="Высокий уровень" id="{002700AC-00F4-4F35-B72E-0039009900C4}">
            <xm:f>NOT(ISERROR(SEARCH("Высокий уровень",D9)))</xm:f>
            <x14:dxf>
              <fill>
                <patternFill patternType="solid">
                  <fgColor rgb="FF70AD47"/>
                  <bgColor rgb="FF70AD47"/>
                </patternFill>
              </fill>
            </x14:dxf>
          </x14:cfRule>
          <xm:sqref>F47</xm:sqref>
        </x14:conditionalFormatting>
        <x14:conditionalFormatting xmlns:xm="http://schemas.microsoft.com/office/excel/2006/main">
          <x14:cfRule type="containsText" priority="6" text="Высокий уровень" id="{00420016-004E-4AC8-82FD-000300A40013}">
            <xm:f>NOT(ISERROR(SEARCH("Высокий уровень",D9)))</xm:f>
            <x14:dxf>
              <fill>
                <patternFill patternType="solid">
                  <fgColor rgb="FF70AD47"/>
                  <bgColor rgb="FF70AD47"/>
                </patternFill>
              </fill>
            </x14:dxf>
          </x14:cfRule>
          <xm:sqref>F47</xm:sqref>
        </x14:conditionalFormatting>
        <x14:conditionalFormatting xmlns:xm="http://schemas.microsoft.com/office/excel/2006/main">
          <x14:cfRule type="containsText" priority="5" text="Выше среднего" id="{009F007F-008E-4210-B131-00FA00410032}">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7D0055-00F1-47B8-8040-002D00E40004}">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9600E7-0054-4083-B513-00A8008F008B}">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6B0003-0013-4B39-AD41-00FD00EB00F9}">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900004-006C-4A8B-84A1-00ED00FD0055}">
            <xm:f>NOT(ISERROR(SEARCH("Выше среднего",D9)))</xm:f>
            <x14:dxf>
              <fill>
                <patternFill patternType="solid">
                  <fgColor rgb="FFA9D08D"/>
                  <bgColor rgb="FFA9D08D"/>
                </patternFill>
              </fill>
            </x14:dxf>
          </x14:cfRule>
          <xm:sqref>F17</xm:sqref>
        </x14:conditionalFormatting>
        <x14:conditionalFormatting xmlns:xm="http://schemas.microsoft.com/office/excel/2006/main">
          <x14:cfRule type="containsText" priority="5" text="Выше среднего" id="{00AD0086-00E9-4922-9952-009400310050}">
            <xm:f>NOT(ISERROR(SEARCH("Выше среднего",D9)))</xm:f>
            <x14:dxf>
              <fill>
                <patternFill patternType="solid">
                  <fgColor rgb="FFA9D08D"/>
                  <bgColor rgb="FFA9D08D"/>
                </patternFill>
              </fill>
            </x14:dxf>
          </x14:cfRule>
          <xm:sqref>F47</xm:sqref>
        </x14:conditionalFormatting>
        <x14:conditionalFormatting xmlns:xm="http://schemas.microsoft.com/office/excel/2006/main">
          <x14:cfRule type="containsText" priority="5" text="Выше среднего" id="{007C0092-0055-4C83-8F2D-006D002E0078}">
            <xm:f>NOT(ISERROR(SEARCH("Выше среднего",D9)))</xm:f>
            <x14:dxf>
              <fill>
                <patternFill patternType="solid">
                  <fgColor rgb="FFA9D08D"/>
                  <bgColor rgb="FFA9D08D"/>
                </patternFill>
              </fill>
            </x14:dxf>
          </x14:cfRule>
          <xm:sqref>F47</xm:sqref>
        </x14:conditionalFormatting>
        <x14:conditionalFormatting xmlns:xm="http://schemas.microsoft.com/office/excel/2006/main">
          <x14:cfRule type="containsText" priority="4" text="Средний уровень" id="{00F800E5-0041-47A3-B36F-003D00900040}">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8F005A-0061-463E-9E2D-005D00D2003E}">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500062-001E-48D7-90D4-009800EE0092}">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65004B-00DE-4725-9B57-004C00D0004C}">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08000A-00C3-43CA-A185-00DE0089006E}">
            <xm:f>NOT(ISERROR(SEARCH("Средний уровень",D9)))</xm:f>
            <x14:dxf>
              <font>
                <color theme="1" tint="0"/>
              </font>
              <fill>
                <patternFill patternType="solid">
                  <fgColor indexed="5"/>
                  <bgColor indexed="5"/>
                </patternFill>
              </fill>
            </x14:dxf>
          </x14:cfRule>
          <xm:sqref>F17</xm:sqref>
        </x14:conditionalFormatting>
        <x14:conditionalFormatting xmlns:xm="http://schemas.microsoft.com/office/excel/2006/main">
          <x14:cfRule type="containsText" priority="4" text="Средний уровень" id="{005C0063-002C-4DC9-B174-00D200680095}">
            <xm:f>NOT(ISERROR(SEARCH("Средний уровень",D9)))</xm:f>
            <x14:dxf>
              <font>
                <color theme="1" tint="0"/>
              </font>
              <fill>
                <patternFill patternType="solid">
                  <fgColor indexed="5"/>
                  <bgColor indexed="5"/>
                </patternFill>
              </fill>
            </x14:dxf>
          </x14:cfRule>
          <xm:sqref>F47</xm:sqref>
        </x14:conditionalFormatting>
        <x14:conditionalFormatting xmlns:xm="http://schemas.microsoft.com/office/excel/2006/main">
          <x14:cfRule type="containsText" priority="4" text="Средний уровень" id="{00650042-0073-4919-A61D-001100FB001A}">
            <xm:f>NOT(ISERROR(SEARCH("Средний уровень",D9)))</xm:f>
            <x14:dxf>
              <font>
                <color theme="1" tint="0"/>
              </font>
              <fill>
                <patternFill patternType="solid">
                  <fgColor indexed="5"/>
                  <bgColor indexed="5"/>
                </patternFill>
              </fill>
            </x14:dxf>
          </x14:cfRule>
          <xm:sqref>F47</xm:sqref>
        </x14:conditionalFormatting>
        <x14:conditionalFormatting xmlns:xm="http://schemas.microsoft.com/office/excel/2006/main">
          <x14:cfRule type="containsText" priority="3" text="Ниже среднего" id="{00DB00CD-0080-4F6C-AD36-0035008E0043}">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0500DC-00F7-446F-8E87-00ED00AC0009}">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F50085-003C-43DB-98B5-00D900AE005F}">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4D00B5-0029-4009-A9DA-00E700960037}">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7400FF-0083-496B-8826-00B500EA00B7}">
            <xm:f>NOT(ISERROR(SEARCH("Ниже среднего",D9)))</xm:f>
            <x14:dxf>
              <fill>
                <patternFill patternType="solid">
                  <fgColor rgb="FFED7D31"/>
                  <bgColor rgb="FFED7D31"/>
                </patternFill>
              </fill>
            </x14:dxf>
          </x14:cfRule>
          <xm:sqref>F17</xm:sqref>
        </x14:conditionalFormatting>
        <x14:conditionalFormatting xmlns:xm="http://schemas.microsoft.com/office/excel/2006/main">
          <x14:cfRule type="containsText" priority="3" text="Ниже среднего" id="{004300A3-0024-42E3-8610-004800EC002F}">
            <xm:f>NOT(ISERROR(SEARCH("Ниже среднего",D9)))</xm:f>
            <x14:dxf>
              <fill>
                <patternFill patternType="solid">
                  <fgColor rgb="FFED7D31"/>
                  <bgColor rgb="FFED7D31"/>
                </patternFill>
              </fill>
            </x14:dxf>
          </x14:cfRule>
          <xm:sqref>F47</xm:sqref>
        </x14:conditionalFormatting>
        <x14:conditionalFormatting xmlns:xm="http://schemas.microsoft.com/office/excel/2006/main">
          <x14:cfRule type="containsText" priority="3" text="Ниже среднего" id="{00EF00A3-00F1-49B8-99FA-006C007C00D2}">
            <xm:f>NOT(ISERROR(SEARCH("Ниже среднего",D9)))</xm:f>
            <x14:dxf>
              <fill>
                <patternFill patternType="solid">
                  <fgColor rgb="FFED7D31"/>
                  <bgColor rgb="FFED7D31"/>
                </patternFill>
              </fill>
            </x14:dxf>
          </x14:cfRule>
          <xm:sqref>F47</xm:sqref>
        </x14:conditionalFormatting>
        <x14:conditionalFormatting xmlns:xm="http://schemas.microsoft.com/office/excel/2006/main">
          <x14:cfRule type="containsText" priority="2" text="Низкий уровень" id="{006B00DD-00F5-47B4-A662-003F008A0087}">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4500BF-008E-4116-B592-008F009300DF}">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FD00A1-0087-492B-9764-00E30007007A}">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8500AB-004E-4AFE-A6FA-00AB000D0003}">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BF00F8-00F3-4DE0-B5D9-001500EB00D8}">
            <xm:f>NOT(ISERROR(SEARCH("Низкий уровень",D9)))</xm:f>
            <x14:dxf>
              <fill>
                <patternFill patternType="solid">
                  <fgColor indexed="2"/>
                  <bgColor indexed="2"/>
                </patternFill>
              </fill>
            </x14:dxf>
          </x14:cfRule>
          <xm:sqref>F17</xm:sqref>
        </x14:conditionalFormatting>
        <x14:conditionalFormatting xmlns:xm="http://schemas.microsoft.com/office/excel/2006/main">
          <x14:cfRule type="containsText" priority="2" text="Низкий уровень" id="{009000E1-00C9-4A16-9089-000A00870086}">
            <xm:f>NOT(ISERROR(SEARCH("Низкий уровень",D9)))</xm:f>
            <x14:dxf>
              <fill>
                <patternFill patternType="solid">
                  <fgColor indexed="2"/>
                  <bgColor indexed="2"/>
                </patternFill>
              </fill>
            </x14:dxf>
          </x14:cfRule>
          <xm:sqref>F47</xm:sqref>
        </x14:conditionalFormatting>
        <x14:conditionalFormatting xmlns:xm="http://schemas.microsoft.com/office/excel/2006/main">
          <x14:cfRule type="containsText" priority="2" text="Низкий уровень" id="{004F00F8-008F-404B-8EF1-00EE00C400D0}">
            <xm:f>NOT(ISERROR(SEARCH("Низкий уровень",D9)))</xm:f>
            <x14:dxf>
              <fill>
                <patternFill patternType="solid">
                  <fgColor indexed="2"/>
                  <bgColor indexed="2"/>
                </patternFill>
              </fill>
            </x14:dxf>
          </x14:cfRule>
          <xm:sqref>F47</xm:sqref>
        </x14:conditionalFormatting>
        <x14:conditionalFormatting xmlns:xm="http://schemas.microsoft.com/office/excel/2006/main">
          <x14:cfRule type="containsText" priority="1" text="Невозможно измерить" id="{00CA001F-00B6-42F1-8046-000B00A3009C}">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AE0041-004E-4428-B972-0056003500A1}">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E4007C-002B-4314-818B-004A004B00D6}">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97008A-00D7-4BFA-8DED-00DF006B00EF}">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ED0036-0051-494B-892F-00310095007B}">
            <xm:f>NOT(ISERROR(SEARCH("Невозможно измерить",D9)))</xm:f>
            <x14:dxf>
              <fill>
                <patternFill patternType="solid">
                  <fgColor rgb="FF7F7F7F"/>
                  <bgColor rgb="FF7F7F7F"/>
                </patternFill>
              </fill>
            </x14:dxf>
          </x14:cfRule>
          <xm:sqref>F47</xm:sqref>
        </x14:conditionalFormatting>
        <x14:conditionalFormatting xmlns:xm="http://schemas.microsoft.com/office/excel/2006/main">
          <x14:cfRule type="containsText" priority="1" text="Невозможно измерить" id="{00B1005C-00AF-47DB-9F11-006E008D0086}">
            <xm:f>NOT(ISERROR(SEARCH("Невозможно измерить",D9)))</xm:f>
            <x14:dxf>
              <fill>
                <patternFill patternType="solid">
                  <fgColor rgb="FF7F7F7F"/>
                  <bgColor rgb="FF7F7F7F"/>
                </patternFill>
              </fill>
            </x14:dxf>
          </x14:cfRule>
          <xm:sqref>F47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1" zoomScale="100" workbookViewId="0">
      <selection activeCell="A1" activeCellId="0" sqref="A1"/>
    </sheetView>
  </sheetViews>
  <sheetFormatPr defaultRowHeight="14.25"/>
  <cols>
    <col customWidth="1" min="1" max="1" width="22.8515625"/>
    <col customWidth="1" min="2" max="2" width="18.140625"/>
    <col customWidth="1" min="3" max="3" width="5.7109375"/>
    <col customWidth="1" min="4" max="4" width="23.140625"/>
    <col customWidth="1" min="6" max="6" width="19.421875"/>
    <col customWidth="1" min="7" max="7" width="67.8515625"/>
    <col customWidth="1" min="9" max="9" width="26.57421875"/>
  </cols>
  <sheetData>
    <row r="1" ht="15">
      <c r="A1" s="478" t="s">
        <v>153</v>
      </c>
      <c r="B1" s="479"/>
      <c r="C1" s="479"/>
      <c r="D1" s="479"/>
      <c r="E1" s="479"/>
      <c r="F1" s="479"/>
      <c r="G1" s="479"/>
      <c r="H1" s="479"/>
      <c r="I1" s="479"/>
    </row>
    <row r="2" ht="30">
      <c r="A2" s="285" t="s">
        <v>154</v>
      </c>
      <c r="B2" s="285" t="s">
        <v>127</v>
      </c>
      <c r="C2" s="285" t="s">
        <v>196</v>
      </c>
      <c r="D2" s="223" t="s">
        <v>155</v>
      </c>
      <c r="E2" s="221" t="s">
        <v>8</v>
      </c>
      <c r="F2" s="222"/>
      <c r="G2" s="223" t="s">
        <v>156</v>
      </c>
      <c r="H2" s="223" t="s">
        <v>230</v>
      </c>
      <c r="I2" s="223" t="s">
        <v>158</v>
      </c>
    </row>
    <row r="3" ht="72.75" customHeight="1">
      <c r="A3" s="390" t="s">
        <v>231</v>
      </c>
      <c r="B3" s="391" t="s">
        <v>352</v>
      </c>
      <c r="C3" s="19">
        <v>1</v>
      </c>
      <c r="D3" s="261" t="s">
        <v>29</v>
      </c>
      <c r="E3" s="287">
        <v>1</v>
      </c>
      <c r="F3" s="392" t="s">
        <v>30</v>
      </c>
      <c r="G3" s="347" t="s">
        <v>353</v>
      </c>
      <c r="H3" s="292" t="s">
        <v>14</v>
      </c>
      <c r="I3" s="147" t="s">
        <v>15</v>
      </c>
    </row>
    <row r="4" ht="111.75" customHeight="1">
      <c r="A4" s="393"/>
      <c r="B4" s="394"/>
      <c r="C4" s="19">
        <v>2</v>
      </c>
      <c r="D4" s="261" t="s">
        <v>26</v>
      </c>
      <c r="E4" s="306">
        <v>0.75</v>
      </c>
      <c r="F4" s="340" t="s">
        <v>27</v>
      </c>
      <c r="G4" s="261" t="s">
        <v>354</v>
      </c>
      <c r="H4" s="292" t="s">
        <v>14</v>
      </c>
      <c r="I4" s="147" t="s">
        <v>15</v>
      </c>
    </row>
    <row r="5" ht="58.5" customHeight="1">
      <c r="A5" s="393"/>
      <c r="B5" s="394"/>
      <c r="C5" s="19">
        <v>3</v>
      </c>
      <c r="D5" s="261" t="s">
        <v>12</v>
      </c>
      <c r="E5" s="290">
        <v>0</v>
      </c>
      <c r="F5" s="480" t="s">
        <v>161</v>
      </c>
      <c r="G5" s="260" t="s">
        <v>355</v>
      </c>
      <c r="H5" s="292" t="s">
        <v>14</v>
      </c>
      <c r="I5" s="147" t="s">
        <v>15</v>
      </c>
    </row>
    <row r="6" ht="148.5" customHeight="1">
      <c r="A6" s="393"/>
      <c r="B6" s="394"/>
      <c r="C6" s="19">
        <v>4</v>
      </c>
      <c r="D6" s="260" t="s">
        <v>20</v>
      </c>
      <c r="E6" s="287">
        <v>1</v>
      </c>
      <c r="F6" s="392" t="s">
        <v>30</v>
      </c>
      <c r="G6" s="268" t="s">
        <v>356</v>
      </c>
      <c r="H6" s="292" t="s">
        <v>14</v>
      </c>
      <c r="I6" s="147" t="s">
        <v>15</v>
      </c>
    </row>
    <row r="7" ht="103.5" customHeight="1">
      <c r="A7" s="393"/>
      <c r="B7" s="394"/>
      <c r="C7" s="19">
        <v>5</v>
      </c>
      <c r="D7" s="27" t="s">
        <v>23</v>
      </c>
      <c r="E7" s="287">
        <v>1</v>
      </c>
      <c r="F7" s="392" t="s">
        <v>30</v>
      </c>
      <c r="G7" s="176" t="s">
        <v>357</v>
      </c>
      <c r="H7" s="292" t="s">
        <v>14</v>
      </c>
      <c r="I7" s="147" t="s">
        <v>15</v>
      </c>
    </row>
    <row r="8" ht="68.25" customHeight="1">
      <c r="A8" s="393"/>
      <c r="B8" s="394"/>
      <c r="C8" s="19">
        <v>6</v>
      </c>
      <c r="D8" s="457" t="s">
        <v>22</v>
      </c>
      <c r="E8" s="287">
        <v>1</v>
      </c>
      <c r="F8" s="392" t="s">
        <v>30</v>
      </c>
      <c r="G8" s="460" t="s">
        <v>358</v>
      </c>
      <c r="H8" s="292" t="s">
        <v>14</v>
      </c>
      <c r="I8" s="147" t="s">
        <v>15</v>
      </c>
    </row>
    <row r="9" ht="152.25" customHeight="1">
      <c r="A9" s="393"/>
      <c r="B9" s="394"/>
      <c r="C9" s="19">
        <v>7</v>
      </c>
      <c r="D9" s="261" t="s">
        <v>19</v>
      </c>
      <c r="E9" s="455">
        <v>0.97999999999999998</v>
      </c>
      <c r="F9" s="392" t="s">
        <v>30</v>
      </c>
      <c r="G9" s="347" t="s">
        <v>204</v>
      </c>
      <c r="H9" s="292" t="s">
        <v>14</v>
      </c>
      <c r="I9" s="18" t="s">
        <v>15</v>
      </c>
    </row>
    <row r="10" ht="98.25" customHeight="1">
      <c r="A10" s="393"/>
      <c r="B10" s="394"/>
      <c r="C10" s="19">
        <v>8</v>
      </c>
      <c r="D10" s="402" t="s">
        <v>32</v>
      </c>
      <c r="E10" s="287">
        <v>1</v>
      </c>
      <c r="F10" s="392" t="s">
        <v>30</v>
      </c>
      <c r="G10" s="268" t="s">
        <v>359</v>
      </c>
      <c r="H10" s="229" t="s">
        <v>168</v>
      </c>
      <c r="I10" s="147" t="s">
        <v>15</v>
      </c>
    </row>
    <row r="11" ht="62.25" customHeight="1">
      <c r="A11" s="404"/>
      <c r="B11" s="405"/>
      <c r="C11" s="19">
        <v>9</v>
      </c>
      <c r="D11" s="402" t="s">
        <v>17</v>
      </c>
      <c r="E11" s="455">
        <v>0.81999999999999995</v>
      </c>
      <c r="F11" s="392" t="s">
        <v>30</v>
      </c>
      <c r="G11" s="268" t="s">
        <v>360</v>
      </c>
      <c r="H11" s="292" t="s">
        <v>14</v>
      </c>
      <c r="I11" s="147" t="s">
        <v>15</v>
      </c>
    </row>
    <row r="12" ht="15">
      <c r="A12" s="278"/>
      <c r="B12" s="278"/>
      <c r="C12" s="278"/>
      <c r="D12" s="278"/>
      <c r="E12" s="481">
        <f>(E3+E4+E5+E6++E8+E9+E10+E11)/9</f>
        <v>0.72777777777777786</v>
      </c>
      <c r="F12" s="278"/>
      <c r="G12" s="278"/>
      <c r="H12" s="278"/>
      <c r="I12" s="278"/>
    </row>
    <row r="13" ht="15">
      <c r="A13" s="470" t="s">
        <v>193</v>
      </c>
      <c r="B13" s="471"/>
      <c r="C13" s="471"/>
      <c r="D13" s="471"/>
      <c r="E13" s="471"/>
      <c r="F13" s="471"/>
      <c r="G13" s="471"/>
      <c r="H13" s="471"/>
      <c r="I13" s="472"/>
    </row>
    <row r="14" ht="60.75" customHeight="1">
      <c r="A14" s="156" t="s">
        <v>324</v>
      </c>
      <c r="B14" s="168" t="s">
        <v>361</v>
      </c>
      <c r="C14" s="169"/>
      <c r="D14" s="170"/>
      <c r="E14" s="466">
        <v>0.72999999999999998</v>
      </c>
      <c r="F14" s="306" t="s">
        <v>27</v>
      </c>
      <c r="G14" s="168" t="s">
        <v>362</v>
      </c>
      <c r="H14" s="169"/>
      <c r="I14" s="170"/>
    </row>
    <row r="15" ht="14.25"/>
    <row r="16" ht="15">
      <c r="A16" s="478" t="s">
        <v>287</v>
      </c>
      <c r="B16" s="479"/>
      <c r="C16" s="479"/>
      <c r="D16" s="479"/>
      <c r="E16" s="479"/>
      <c r="F16" s="479"/>
      <c r="G16" s="479"/>
      <c r="H16" s="479"/>
      <c r="I16" s="479"/>
    </row>
    <row r="17" ht="30">
      <c r="A17" s="285" t="s">
        <v>154</v>
      </c>
      <c r="B17" s="285" t="s">
        <v>127</v>
      </c>
      <c r="C17" s="285" t="s">
        <v>196</v>
      </c>
      <c r="D17" s="223" t="s">
        <v>155</v>
      </c>
      <c r="E17" s="221" t="s">
        <v>8</v>
      </c>
      <c r="F17" s="222"/>
      <c r="G17" s="223" t="s">
        <v>156</v>
      </c>
      <c r="H17" s="223" t="s">
        <v>230</v>
      </c>
      <c r="I17" s="223" t="s">
        <v>158</v>
      </c>
    </row>
    <row r="18" ht="114">
      <c r="A18" s="390" t="s">
        <v>231</v>
      </c>
      <c r="B18" s="225" t="s">
        <v>352</v>
      </c>
      <c r="C18" s="19">
        <v>1</v>
      </c>
      <c r="D18" s="261" t="s">
        <v>173</v>
      </c>
      <c r="E18" s="287">
        <v>0.97999999999999998</v>
      </c>
      <c r="F18" s="392" t="s">
        <v>30</v>
      </c>
      <c r="G18" s="347" t="s">
        <v>363</v>
      </c>
      <c r="H18" s="292" t="s">
        <v>62</v>
      </c>
      <c r="I18" s="261" t="s">
        <v>66</v>
      </c>
    </row>
    <row r="19" ht="85.5">
      <c r="A19" s="393"/>
      <c r="B19" s="231"/>
      <c r="C19" s="19">
        <v>2</v>
      </c>
      <c r="D19" s="261" t="s">
        <v>211</v>
      </c>
      <c r="E19" s="287">
        <v>1</v>
      </c>
      <c r="F19" s="392" t="s">
        <v>30</v>
      </c>
      <c r="G19" s="261" t="s">
        <v>353</v>
      </c>
      <c r="H19" s="292" t="s">
        <v>62</v>
      </c>
      <c r="I19" s="261" t="s">
        <v>66</v>
      </c>
    </row>
    <row r="20" ht="57">
      <c r="A20" s="393"/>
      <c r="B20" s="231"/>
      <c r="C20" s="19">
        <v>3</v>
      </c>
      <c r="D20" s="261" t="s">
        <v>104</v>
      </c>
      <c r="E20" s="482">
        <v>0.90000000000000002</v>
      </c>
      <c r="F20" s="288" t="s">
        <v>30</v>
      </c>
      <c r="G20" s="260" t="s">
        <v>364</v>
      </c>
      <c r="H20" s="19" t="s">
        <v>62</v>
      </c>
      <c r="I20" s="261" t="s">
        <v>63</v>
      </c>
    </row>
    <row r="21" ht="57">
      <c r="A21" s="393"/>
      <c r="B21" s="231"/>
      <c r="C21" s="19">
        <v>4</v>
      </c>
      <c r="D21" s="261" t="s">
        <v>94</v>
      </c>
      <c r="E21" s="306">
        <v>0.71999999999999997</v>
      </c>
      <c r="F21" s="340" t="s">
        <v>27</v>
      </c>
      <c r="G21" s="260" t="s">
        <v>365</v>
      </c>
      <c r="H21" s="19" t="s">
        <v>62</v>
      </c>
      <c r="I21" s="265" t="s">
        <v>66</v>
      </c>
    </row>
    <row r="22" ht="42.75">
      <c r="A22" s="393"/>
      <c r="B22" s="231"/>
      <c r="C22" s="19">
        <v>5</v>
      </c>
      <c r="D22" s="457" t="s">
        <v>65</v>
      </c>
      <c r="E22" s="287">
        <v>1</v>
      </c>
      <c r="F22" s="392" t="s">
        <v>30</v>
      </c>
      <c r="G22" s="460" t="s">
        <v>366</v>
      </c>
      <c r="H22" s="19" t="s">
        <v>62</v>
      </c>
      <c r="I22" s="229" t="s">
        <v>66</v>
      </c>
    </row>
    <row r="23" ht="42.75">
      <c r="A23" s="393"/>
      <c r="B23" s="231"/>
      <c r="C23" s="19">
        <v>6</v>
      </c>
      <c r="D23" s="261" t="s">
        <v>79</v>
      </c>
      <c r="E23" s="287">
        <v>1</v>
      </c>
      <c r="F23" s="392" t="s">
        <v>30</v>
      </c>
      <c r="G23" s="347" t="s">
        <v>367</v>
      </c>
      <c r="H23" s="19" t="s">
        <v>62</v>
      </c>
      <c r="I23" s="243" t="s">
        <v>63</v>
      </c>
    </row>
    <row r="24" ht="135">
      <c r="A24" s="393"/>
      <c r="B24" s="231"/>
      <c r="C24" s="19">
        <v>7</v>
      </c>
      <c r="D24" s="402" t="s">
        <v>100</v>
      </c>
      <c r="E24" s="287">
        <v>0.94999999999999996</v>
      </c>
      <c r="F24" s="310" t="s">
        <v>30</v>
      </c>
      <c r="G24" s="268" t="s">
        <v>368</v>
      </c>
      <c r="H24" s="19" t="s">
        <v>62</v>
      </c>
      <c r="I24" s="265" t="s">
        <v>63</v>
      </c>
    </row>
    <row r="25" ht="128.25">
      <c r="A25" s="393"/>
      <c r="B25" s="231"/>
      <c r="C25" s="19">
        <v>8</v>
      </c>
      <c r="D25" s="206" t="s">
        <v>90</v>
      </c>
      <c r="E25" s="287">
        <v>1</v>
      </c>
      <c r="F25" s="288" t="s">
        <v>30</v>
      </c>
      <c r="G25" s="260" t="s">
        <v>369</v>
      </c>
      <c r="H25" s="19" t="s">
        <v>62</v>
      </c>
      <c r="I25" s="243" t="s">
        <v>70</v>
      </c>
    </row>
    <row r="26" ht="57">
      <c r="A26" s="393"/>
      <c r="B26" s="231"/>
      <c r="C26" s="19">
        <v>9</v>
      </c>
      <c r="D26" s="206" t="s">
        <v>98</v>
      </c>
      <c r="E26" s="287">
        <v>1</v>
      </c>
      <c r="F26" s="288" t="s">
        <v>30</v>
      </c>
      <c r="G26" s="260" t="s">
        <v>297</v>
      </c>
      <c r="H26" s="19" t="s">
        <v>62</v>
      </c>
      <c r="I26" s="243" t="s">
        <v>70</v>
      </c>
    </row>
    <row r="27" ht="99.75">
      <c r="A27" s="393"/>
      <c r="B27" s="231"/>
      <c r="C27" s="311">
        <v>10</v>
      </c>
      <c r="D27" s="82" t="s">
        <v>82</v>
      </c>
      <c r="E27" s="483">
        <v>0.72999999999999998</v>
      </c>
      <c r="F27" s="483" t="s">
        <v>27</v>
      </c>
      <c r="G27" s="205" t="s">
        <v>370</v>
      </c>
      <c r="H27" s="19" t="s">
        <v>62</v>
      </c>
      <c r="I27" s="243" t="s">
        <v>66</v>
      </c>
    </row>
    <row r="28" ht="85.5">
      <c r="A28" s="393"/>
      <c r="B28" s="231"/>
      <c r="C28" s="311">
        <v>11</v>
      </c>
      <c r="D28" s="82" t="s">
        <v>69</v>
      </c>
      <c r="E28" s="287">
        <v>1</v>
      </c>
      <c r="F28" s="288" t="s">
        <v>30</v>
      </c>
      <c r="G28" s="205" t="s">
        <v>299</v>
      </c>
      <c r="H28" s="19" t="s">
        <v>62</v>
      </c>
      <c r="I28" s="243" t="s">
        <v>70</v>
      </c>
    </row>
    <row r="29" ht="57">
      <c r="A29" s="393"/>
      <c r="B29" s="231"/>
      <c r="C29" s="311">
        <v>12</v>
      </c>
      <c r="D29" s="82" t="s">
        <v>61</v>
      </c>
      <c r="E29" s="287">
        <v>1</v>
      </c>
      <c r="F29" s="288" t="s">
        <v>30</v>
      </c>
      <c r="G29" s="205" t="s">
        <v>371</v>
      </c>
      <c r="H29" s="19" t="s">
        <v>62</v>
      </c>
      <c r="I29" s="243" t="s">
        <v>70</v>
      </c>
    </row>
    <row r="30" ht="28.5">
      <c r="A30" s="393"/>
      <c r="B30" s="231"/>
      <c r="C30" s="311">
        <v>13</v>
      </c>
      <c r="D30" s="82" t="s">
        <v>67</v>
      </c>
      <c r="E30" s="287">
        <v>1</v>
      </c>
      <c r="F30" s="288" t="s">
        <v>30</v>
      </c>
      <c r="G30" s="205" t="s">
        <v>372</v>
      </c>
      <c r="H30" s="19" t="s">
        <v>62</v>
      </c>
      <c r="I30" s="68" t="s">
        <v>66</v>
      </c>
    </row>
    <row r="31" ht="42.75">
      <c r="A31" s="393"/>
      <c r="B31" s="231"/>
      <c r="C31" s="311">
        <v>14</v>
      </c>
      <c r="D31" s="82" t="s">
        <v>85</v>
      </c>
      <c r="E31" s="319">
        <v>0.94999999999999996</v>
      </c>
      <c r="F31" s="288" t="s">
        <v>30</v>
      </c>
      <c r="G31" s="205" t="s">
        <v>373</v>
      </c>
      <c r="H31" s="19" t="s">
        <v>62</v>
      </c>
      <c r="I31" s="68" t="s">
        <v>70</v>
      </c>
    </row>
    <row r="32" ht="71.25">
      <c r="A32" s="393"/>
      <c r="B32" s="231"/>
      <c r="C32" s="311">
        <v>15</v>
      </c>
      <c r="D32" s="82" t="s">
        <v>185</v>
      </c>
      <c r="E32" s="484">
        <v>0.059999999999999998</v>
      </c>
      <c r="F32" s="484" t="s">
        <v>58</v>
      </c>
      <c r="G32" s="205" t="s">
        <v>374</v>
      </c>
      <c r="H32" s="19" t="s">
        <v>62</v>
      </c>
      <c r="I32" s="68" t="s">
        <v>63</v>
      </c>
    </row>
    <row r="33" ht="57">
      <c r="A33" s="393"/>
      <c r="B33" s="231"/>
      <c r="C33" s="311">
        <v>16</v>
      </c>
      <c r="D33" s="82" t="s">
        <v>72</v>
      </c>
      <c r="E33" s="319">
        <v>0.82999999999999996</v>
      </c>
      <c r="F33" s="319" t="s">
        <v>30</v>
      </c>
      <c r="G33" s="205" t="s">
        <v>375</v>
      </c>
      <c r="H33" s="19" t="s">
        <v>62</v>
      </c>
      <c r="I33" s="209" t="s">
        <v>66</v>
      </c>
    </row>
    <row r="34" ht="114">
      <c r="A34" s="393"/>
      <c r="B34" s="231"/>
      <c r="C34" s="311">
        <v>17</v>
      </c>
      <c r="D34" s="82" t="s">
        <v>88</v>
      </c>
      <c r="E34" s="370">
        <v>0.90000000000000002</v>
      </c>
      <c r="F34" s="319" t="s">
        <v>30</v>
      </c>
      <c r="G34" s="205" t="s">
        <v>376</v>
      </c>
      <c r="H34" s="19" t="s">
        <v>62</v>
      </c>
      <c r="I34" s="68" t="s">
        <v>66</v>
      </c>
    </row>
    <row r="35" ht="199.5">
      <c r="A35" s="393"/>
      <c r="B35" s="231"/>
      <c r="C35" s="311">
        <v>18</v>
      </c>
      <c r="D35" s="205" t="s">
        <v>93</v>
      </c>
      <c r="E35" s="379">
        <v>0.60999999999999999</v>
      </c>
      <c r="F35" s="379" t="s">
        <v>27</v>
      </c>
      <c r="G35" s="205" t="s">
        <v>377</v>
      </c>
      <c r="H35" s="19" t="s">
        <v>62</v>
      </c>
      <c r="I35" s="68" t="s">
        <v>66</v>
      </c>
    </row>
    <row r="36" ht="57">
      <c r="A36" s="393"/>
      <c r="B36" s="231"/>
      <c r="C36" s="311">
        <v>19</v>
      </c>
      <c r="D36" s="82" t="s">
        <v>80</v>
      </c>
      <c r="E36" s="381">
        <v>0.96999999999999997</v>
      </c>
      <c r="F36" s="319" t="s">
        <v>30</v>
      </c>
      <c r="G36" s="205" t="s">
        <v>378</v>
      </c>
      <c r="H36" s="19" t="s">
        <v>62</v>
      </c>
      <c r="I36" s="68" t="s">
        <v>70</v>
      </c>
    </row>
    <row r="37" ht="42.75">
      <c r="A37" s="393"/>
      <c r="B37" s="231"/>
      <c r="C37" s="311">
        <v>20</v>
      </c>
      <c r="D37" s="82" t="s">
        <v>91</v>
      </c>
      <c r="E37" s="381">
        <v>1</v>
      </c>
      <c r="F37" s="381" t="s">
        <v>30</v>
      </c>
      <c r="G37" s="205" t="s">
        <v>379</v>
      </c>
      <c r="H37" s="19" t="s">
        <v>62</v>
      </c>
      <c r="I37" s="209" t="s">
        <v>66</v>
      </c>
    </row>
    <row r="38" ht="57">
      <c r="A38" s="393"/>
      <c r="B38" s="231"/>
      <c r="C38" s="311">
        <v>21</v>
      </c>
      <c r="D38" s="82" t="s">
        <v>92</v>
      </c>
      <c r="E38" s="381">
        <v>0.84999999999999998</v>
      </c>
      <c r="F38" s="381" t="s">
        <v>30</v>
      </c>
      <c r="G38" s="205" t="s">
        <v>380</v>
      </c>
      <c r="H38" s="19" t="s">
        <v>62</v>
      </c>
      <c r="I38" s="209" t="s">
        <v>63</v>
      </c>
    </row>
    <row r="39" ht="85.5">
      <c r="A39" s="393"/>
      <c r="B39" s="231"/>
      <c r="C39" s="311">
        <v>22</v>
      </c>
      <c r="D39" s="82" t="s">
        <v>74</v>
      </c>
      <c r="E39" s="381">
        <v>1</v>
      </c>
      <c r="F39" s="381" t="s">
        <v>30</v>
      </c>
      <c r="G39" s="205" t="s">
        <v>379</v>
      </c>
      <c r="H39" s="19" t="s">
        <v>62</v>
      </c>
      <c r="I39" s="209" t="s">
        <v>63</v>
      </c>
    </row>
    <row r="40" ht="57">
      <c r="A40" s="393"/>
      <c r="B40" s="231"/>
      <c r="C40" s="311">
        <v>23</v>
      </c>
      <c r="D40" s="82" t="s">
        <v>84</v>
      </c>
      <c r="E40" s="376">
        <v>0.59999999999999998</v>
      </c>
      <c r="F40" s="377" t="s">
        <v>24</v>
      </c>
      <c r="G40" s="205" t="s">
        <v>381</v>
      </c>
      <c r="H40" s="19" t="s">
        <v>62</v>
      </c>
      <c r="I40" s="68" t="s">
        <v>70</v>
      </c>
    </row>
    <row r="41" ht="156.75">
      <c r="A41" s="393"/>
      <c r="B41" s="231"/>
      <c r="C41" s="311">
        <v>24</v>
      </c>
      <c r="D41" s="82" t="s">
        <v>77</v>
      </c>
      <c r="E41" s="381">
        <v>0.92000000000000004</v>
      </c>
      <c r="F41" s="381" t="s">
        <v>30</v>
      </c>
      <c r="G41" s="205" t="s">
        <v>382</v>
      </c>
      <c r="H41" s="19" t="s">
        <v>62</v>
      </c>
      <c r="I41" s="209" t="s">
        <v>70</v>
      </c>
    </row>
    <row r="42" ht="28.5">
      <c r="A42" s="393"/>
      <c r="B42" s="231"/>
      <c r="C42" s="311">
        <v>25</v>
      </c>
      <c r="D42" s="82" t="s">
        <v>76</v>
      </c>
      <c r="E42" s="485">
        <v>1</v>
      </c>
      <c r="F42" s="381" t="s">
        <v>30</v>
      </c>
      <c r="G42" s="205" t="s">
        <v>375</v>
      </c>
      <c r="H42" s="19" t="s">
        <v>62</v>
      </c>
      <c r="I42" s="68" t="s">
        <v>70</v>
      </c>
    </row>
    <row r="43" ht="114">
      <c r="A43" s="404"/>
      <c r="B43" s="244"/>
      <c r="C43" s="311">
        <v>26</v>
      </c>
      <c r="D43" s="205" t="s">
        <v>96</v>
      </c>
      <c r="E43" s="486">
        <v>0</v>
      </c>
      <c r="F43" s="316" t="s">
        <v>251</v>
      </c>
      <c r="G43" s="205" t="s">
        <v>383</v>
      </c>
      <c r="H43" s="19" t="s">
        <v>62</v>
      </c>
      <c r="I43" s="209" t="s">
        <v>66</v>
      </c>
    </row>
    <row r="44" ht="15">
      <c r="A44" s="487"/>
      <c r="B44" s="445"/>
      <c r="C44" s="488"/>
      <c r="D44" s="489"/>
      <c r="E44" s="490">
        <f>(E18+E19+E20+E21+E22+E23+E24+E25+E26+E27+E28+E29+E30+E31+E32+E33+E34+E35+E36+E37+E38+E39+E40+E41+E42+E42)/25</f>
        <v>0.91880000000000028</v>
      </c>
      <c r="F44" s="491"/>
      <c r="G44" s="492"/>
      <c r="H44" s="493"/>
      <c r="I44" s="494"/>
    </row>
    <row r="45" ht="15">
      <c r="A45" s="487"/>
      <c r="B45" s="445"/>
      <c r="C45" s="488"/>
      <c r="D45" s="489"/>
      <c r="E45" s="491"/>
      <c r="F45" s="491"/>
      <c r="G45" s="492"/>
      <c r="H45" s="493"/>
      <c r="I45" s="494"/>
    </row>
    <row r="46" ht="15">
      <c r="A46" s="470" t="s">
        <v>193</v>
      </c>
      <c r="B46" s="471"/>
      <c r="C46" s="471"/>
      <c r="D46" s="471"/>
      <c r="E46" s="471"/>
      <c r="F46" s="471"/>
      <c r="G46" s="471"/>
      <c r="H46" s="471"/>
      <c r="I46" s="472"/>
    </row>
    <row r="47" ht="31.5" customHeight="1">
      <c r="A47" s="156" t="s">
        <v>324</v>
      </c>
      <c r="B47" s="168" t="s">
        <v>361</v>
      </c>
      <c r="C47" s="169"/>
      <c r="D47" s="170"/>
      <c r="E47" s="477">
        <v>0.92000000000000004</v>
      </c>
      <c r="F47" s="287" t="s">
        <v>30</v>
      </c>
      <c r="G47" s="168" t="s">
        <v>384</v>
      </c>
      <c r="H47" s="169"/>
      <c r="I47" s="170"/>
    </row>
    <row r="48" ht="14.25"/>
    <row r="49" ht="14.25"/>
  </sheetData>
  <mergeCells count="12">
    <mergeCell ref="E2:F2"/>
    <mergeCell ref="A3:A11"/>
    <mergeCell ref="B3:B11"/>
    <mergeCell ref="A13:I13"/>
    <mergeCell ref="B14:D14"/>
    <mergeCell ref="G14:I14"/>
    <mergeCell ref="E17:F17"/>
    <mergeCell ref="A18:A43"/>
    <mergeCell ref="B18:B43"/>
    <mergeCell ref="A46:I46"/>
    <mergeCell ref="B47:D47"/>
    <mergeCell ref="G47:I4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C000F2-001A-48D1-A50A-009D00A600FA}">
            <xm:f>NOT(ISERROR(SEARCH("Высокий уровень",D9)))</xm:f>
            <x14:dxf>
              <fill>
                <patternFill patternType="solid">
                  <fgColor rgb="FF70AD47"/>
                  <bgColor rgb="FF70AD47"/>
                </patternFill>
              </fill>
            </x14:dxf>
          </x14:cfRule>
          <xm:sqref>F12</xm:sqref>
        </x14:conditionalFormatting>
        <x14:conditionalFormatting xmlns:xm="http://schemas.microsoft.com/office/excel/2006/main">
          <x14:cfRule type="containsText" priority="6" text="Высокий уровень" id="{00240016-0085-47A9-A8A0-00FB00D10085}">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1F0053-00C7-4A99-BBBD-00900048001A}">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6B00E1-0029-4371-B3F5-00CD00C10054}">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1D0060-006C-4398-88FB-007A007E00CF}">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5" text="Выше среднего" id="{00FC000B-00B3-4DE1-9B2D-009D005C003E}">
            <xm:f>NOT(ISERROR(SEARCH("Выше среднего",D9)))</xm:f>
            <x14:dxf>
              <fill>
                <patternFill patternType="solid">
                  <fgColor rgb="FFA9D08D"/>
                  <bgColor rgb="FFA9D08D"/>
                </patternFill>
              </fill>
            </x14:dxf>
          </x14:cfRule>
          <xm:sqref>F12</xm:sqref>
        </x14:conditionalFormatting>
        <x14:conditionalFormatting xmlns:xm="http://schemas.microsoft.com/office/excel/2006/main">
          <x14:cfRule type="containsText" priority="5" text="Выше среднего" id="{00B600B3-00B5-4C62-AF57-0062009B00FB}">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780053-00C7-42A9-9865-00E600800076}">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7700FB-0079-4E39-A62C-001800CD0045}">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4700B2-0069-484C-A67E-005E009800D5}">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4" text="Средний уровень" id="{0040001E-008F-4CC9-BEE2-00DC00140005}">
            <xm:f>NOT(ISERROR(SEARCH("Средний уровень",D9)))</xm:f>
            <x14:dxf>
              <font>
                <color theme="1" tint="0"/>
              </font>
              <fill>
                <patternFill patternType="solid">
                  <fgColor indexed="5"/>
                  <bgColor indexed="5"/>
                </patternFill>
              </fill>
            </x14:dxf>
          </x14:cfRule>
          <xm:sqref>F12</xm:sqref>
        </x14:conditionalFormatting>
        <x14:conditionalFormatting xmlns:xm="http://schemas.microsoft.com/office/excel/2006/main">
          <x14:cfRule type="containsText" priority="4" text="Средний уровень" id="{00100032-007A-43CB-8BE7-002700040010}">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9800F8-00EA-42C3-B375-00EE004A0047}">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C50016-0001-4FC0-A98D-004F00570082}">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91001F-004B-4881-9B22-002D00F20016}">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3" text="Ниже среднего" id="{0009002A-007D-46C1-8529-004B0047004F}">
            <xm:f>NOT(ISERROR(SEARCH("Ниже среднего",D9)))</xm:f>
            <x14:dxf>
              <fill>
                <patternFill patternType="solid">
                  <fgColor rgb="FFED7D31"/>
                  <bgColor rgb="FFED7D31"/>
                </patternFill>
              </fill>
            </x14:dxf>
          </x14:cfRule>
          <xm:sqref>F12</xm:sqref>
        </x14:conditionalFormatting>
        <x14:conditionalFormatting xmlns:xm="http://schemas.microsoft.com/office/excel/2006/main">
          <x14:cfRule type="containsText" priority="3" text="Ниже среднего" id="{00850023-0082-4303-9190-008A001900C7}">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8A005F-006A-4074-AAC5-0054007200D9}">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26006F-0089-48D7-8C89-0069008C005C}">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FE009A-006B-4B37-89EB-004000BA00D0}">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2" text="Низкий уровень" id="{0080000C-00AD-46A7-9293-008900240084}">
            <xm:f>NOT(ISERROR(SEARCH("Низкий уровень",D9)))</xm:f>
            <x14:dxf>
              <fill>
                <patternFill patternType="solid">
                  <fgColor indexed="2"/>
                  <bgColor indexed="2"/>
                </patternFill>
              </fill>
            </x14:dxf>
          </x14:cfRule>
          <xm:sqref>F12</xm:sqref>
        </x14:conditionalFormatting>
        <x14:conditionalFormatting xmlns:xm="http://schemas.microsoft.com/office/excel/2006/main">
          <x14:cfRule type="containsText" priority="2" text="Низкий уровень" id="{0026001D-007A-44CA-8246-001A0060001F}">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E00004-0073-4610-BD39-000400870006}">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340062-000C-41B0-A002-00710045002D}">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B80058-00C7-4F99-8D9E-00BB00EC0030}">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1" text="Невозможно измерить" id="{00F30019-0069-47EC-8C36-004C00720028}">
            <xm:f>NOT(ISERROR(SEARCH("Невозможно измерить",D9)))</xm:f>
            <x14:dxf>
              <fill>
                <patternFill patternType="solid">
                  <fgColor rgb="FF7F7F7F"/>
                  <bgColor rgb="FF7F7F7F"/>
                </patternFill>
              </fill>
            </x14:dxf>
          </x14:cfRule>
          <xm:sqref>F12</xm:sqref>
        </x14:conditionalFormatting>
        <x14:conditionalFormatting xmlns:xm="http://schemas.microsoft.com/office/excel/2006/main">
          <x14:cfRule type="containsText" priority="1" text="Невозможно измерить" id="{00BD00E0-00D5-4B90-B60A-00D1001D00F0}">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8E00FE-0083-465E-A046-00210052001A}">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A900C1-00BE-4E81-97CC-006600B9006F}">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670010-00B4-4176-A284-009B000D0030}">
            <xm:f>NOT(ISERROR(SEARCH("Невозможно измерить",D9)))</xm:f>
            <x14:dxf>
              <fill>
                <patternFill patternType="solid">
                  <fgColor rgb="FF7F7F7F"/>
                  <bgColor rgb="FF7F7F7F"/>
                </patternFill>
              </fill>
            </x14:dxf>
          </x14:cfRule>
          <xm:sqref>F46</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4" zoomScale="100" workbookViewId="0">
      <selection activeCell="A1" activeCellId="0" sqref="A1"/>
    </sheetView>
  </sheetViews>
  <sheetFormatPr defaultRowHeight="14.25"/>
  <cols>
    <col customWidth="1" min="1" max="1" width="16.00390625"/>
    <col customWidth="1" min="2" max="2" width="15.28125"/>
    <col customWidth="1" min="3" max="3" width="6.421875"/>
    <col customWidth="1" min="4" max="4" width="47.00390625"/>
    <col customWidth="1" min="5" max="5" width="14.8515625"/>
    <col customWidth="1" min="6" max="6" width="15.28125"/>
    <col customWidth="1" min="7" max="7" width="69.421875"/>
    <col customWidth="1" min="8" max="8" width="8.8515625"/>
    <col customWidth="1" min="9" max="9" width="25.28125"/>
    <col customWidth="1" min="10" max="10" width="42.8515625"/>
  </cols>
  <sheetData>
    <row r="1" ht="15">
      <c r="A1" s="495" t="s">
        <v>153</v>
      </c>
      <c r="B1" s="495"/>
      <c r="C1" s="495"/>
      <c r="D1" s="495"/>
      <c r="E1" s="495"/>
      <c r="F1" s="495"/>
      <c r="G1" s="495"/>
      <c r="H1" s="495"/>
      <c r="I1" s="495"/>
    </row>
    <row r="2" ht="45.75" customHeight="1">
      <c r="A2" s="285" t="s">
        <v>154</v>
      </c>
      <c r="B2" s="285" t="s">
        <v>127</v>
      </c>
      <c r="C2" s="285"/>
      <c r="D2" s="223" t="s">
        <v>155</v>
      </c>
      <c r="E2" s="221" t="s">
        <v>8</v>
      </c>
      <c r="F2" s="222"/>
      <c r="G2" s="223" t="s">
        <v>156</v>
      </c>
      <c r="H2" s="496" t="s">
        <v>230</v>
      </c>
      <c r="I2" s="223" t="s">
        <v>158</v>
      </c>
    </row>
    <row r="3" ht="86.25" customHeight="1">
      <c r="A3" s="497" t="s">
        <v>47</v>
      </c>
      <c r="B3" s="391" t="s">
        <v>385</v>
      </c>
      <c r="C3" s="19">
        <v>1</v>
      </c>
      <c r="D3" s="261" t="s">
        <v>29</v>
      </c>
      <c r="E3" s="392">
        <v>0.90000000000000002</v>
      </c>
      <c r="F3" s="392" t="s">
        <v>30</v>
      </c>
      <c r="G3" s="347" t="s">
        <v>386</v>
      </c>
      <c r="H3" s="292" t="s">
        <v>14</v>
      </c>
      <c r="I3" s="147" t="s">
        <v>15</v>
      </c>
      <c r="J3" s="403"/>
    </row>
    <row r="4" ht="57.75" customHeight="1">
      <c r="A4" s="498"/>
      <c r="B4" s="394"/>
      <c r="C4" s="19">
        <v>2</v>
      </c>
      <c r="D4" s="261" t="s">
        <v>26</v>
      </c>
      <c r="E4" s="361" t="s">
        <v>250</v>
      </c>
      <c r="F4" s="499" t="s">
        <v>251</v>
      </c>
      <c r="G4" s="347" t="s">
        <v>387</v>
      </c>
      <c r="H4" s="292" t="s">
        <v>14</v>
      </c>
      <c r="I4" s="147" t="s">
        <v>15</v>
      </c>
    </row>
    <row r="5" ht="57.75" customHeight="1">
      <c r="A5" s="498"/>
      <c r="B5" s="394"/>
      <c r="C5" s="19">
        <v>3</v>
      </c>
      <c r="D5" s="261" t="s">
        <v>12</v>
      </c>
      <c r="E5" s="287">
        <v>1</v>
      </c>
      <c r="F5" s="500" t="s">
        <v>30</v>
      </c>
      <c r="G5" s="347" t="s">
        <v>388</v>
      </c>
      <c r="H5" s="292" t="s">
        <v>14</v>
      </c>
      <c r="I5" s="147" t="s">
        <v>15</v>
      </c>
      <c r="J5" s="12"/>
    </row>
    <row r="6" ht="30">
      <c r="A6" s="498"/>
      <c r="B6" s="394"/>
      <c r="C6" s="19">
        <v>4</v>
      </c>
      <c r="D6" s="260" t="s">
        <v>20</v>
      </c>
      <c r="E6" s="501">
        <v>0.80000000000000004</v>
      </c>
      <c r="F6" s="165" t="s">
        <v>27</v>
      </c>
      <c r="G6" s="401" t="s">
        <v>389</v>
      </c>
      <c r="H6" s="292" t="s">
        <v>14</v>
      </c>
      <c r="I6" s="147" t="s">
        <v>15</v>
      </c>
    </row>
    <row r="7" ht="28.5">
      <c r="A7" s="498"/>
      <c r="B7" s="394"/>
      <c r="C7" s="19">
        <v>5</v>
      </c>
      <c r="D7" s="27" t="s">
        <v>23</v>
      </c>
      <c r="E7" s="147" t="s">
        <v>250</v>
      </c>
      <c r="F7" s="499" t="s">
        <v>251</v>
      </c>
      <c r="G7" s="347" t="s">
        <v>390</v>
      </c>
      <c r="H7" s="292" t="s">
        <v>14</v>
      </c>
      <c r="I7" s="147" t="s">
        <v>15</v>
      </c>
    </row>
    <row r="8" ht="70.5" customHeight="1">
      <c r="A8" s="498"/>
      <c r="B8" s="394"/>
      <c r="C8" s="19">
        <v>6</v>
      </c>
      <c r="D8" s="261" t="s">
        <v>22</v>
      </c>
      <c r="E8" s="147" t="s">
        <v>250</v>
      </c>
      <c r="F8" s="499" t="s">
        <v>251</v>
      </c>
      <c r="G8" s="309" t="s">
        <v>391</v>
      </c>
      <c r="H8" s="292" t="s">
        <v>14</v>
      </c>
      <c r="I8" s="147" t="s">
        <v>15</v>
      </c>
    </row>
    <row r="9" ht="63" customHeight="1">
      <c r="A9" s="498"/>
      <c r="B9" s="394"/>
      <c r="C9" s="19">
        <v>7</v>
      </c>
      <c r="D9" s="261" t="s">
        <v>19</v>
      </c>
      <c r="E9" s="458">
        <v>0</v>
      </c>
      <c r="F9" s="459" t="s">
        <v>161</v>
      </c>
      <c r="G9" s="19" t="s">
        <v>392</v>
      </c>
      <c r="H9" s="292" t="s">
        <v>14</v>
      </c>
      <c r="I9" s="147" t="s">
        <v>15</v>
      </c>
    </row>
    <row r="10" ht="57">
      <c r="A10" s="498"/>
      <c r="B10" s="394"/>
      <c r="C10" s="19">
        <v>8</v>
      </c>
      <c r="D10" s="261" t="s">
        <v>32</v>
      </c>
      <c r="E10" s="147" t="s">
        <v>250</v>
      </c>
      <c r="F10" s="499" t="s">
        <v>251</v>
      </c>
      <c r="G10" s="176" t="s">
        <v>284</v>
      </c>
      <c r="H10" s="229" t="s">
        <v>168</v>
      </c>
      <c r="I10" s="147" t="s">
        <v>15</v>
      </c>
    </row>
    <row r="11" ht="60">
      <c r="A11" s="502"/>
      <c r="B11" s="405"/>
      <c r="C11" s="19">
        <v>9</v>
      </c>
      <c r="D11" s="261" t="s">
        <v>17</v>
      </c>
      <c r="E11" s="458">
        <v>0</v>
      </c>
      <c r="F11" s="459" t="s">
        <v>161</v>
      </c>
      <c r="G11" s="176" t="s">
        <v>393</v>
      </c>
      <c r="H11" s="292" t="s">
        <v>14</v>
      </c>
      <c r="I11" s="147" t="s">
        <v>15</v>
      </c>
    </row>
    <row r="12" ht="16.5">
      <c r="A12" s="503"/>
      <c r="B12" s="503"/>
      <c r="C12" s="503"/>
      <c r="D12" s="504"/>
      <c r="E12" s="505">
        <f>(E3+E5+E6+E9+E11)/5</f>
        <v>0.54000000000000004</v>
      </c>
      <c r="F12" s="506"/>
      <c r="G12" s="507"/>
      <c r="H12" s="506"/>
      <c r="I12" s="508"/>
    </row>
    <row r="13" ht="15">
      <c r="A13" s="302" t="s">
        <v>193</v>
      </c>
      <c r="B13" s="302"/>
      <c r="C13" s="302"/>
      <c r="D13" s="302"/>
      <c r="E13" s="302"/>
      <c r="F13" s="302"/>
      <c r="G13" s="302"/>
      <c r="H13" s="302"/>
      <c r="I13" s="302"/>
    </row>
    <row r="14" ht="69" customHeight="1">
      <c r="A14" s="176" t="s">
        <v>394</v>
      </c>
      <c r="B14" s="176" t="s">
        <v>395</v>
      </c>
      <c r="C14" s="176"/>
      <c r="D14" s="176"/>
      <c r="E14" s="509">
        <v>0.54000000000000004</v>
      </c>
      <c r="F14" s="255" t="s">
        <v>24</v>
      </c>
      <c r="G14" s="168" t="s">
        <v>396</v>
      </c>
      <c r="H14" s="169"/>
      <c r="I14" s="170"/>
    </row>
    <row r="15" ht="14.25"/>
    <row r="16" ht="15">
      <c r="A16" s="495" t="s">
        <v>397</v>
      </c>
      <c r="B16" s="495"/>
      <c r="C16" s="495"/>
      <c r="D16" s="495"/>
      <c r="E16" s="495"/>
      <c r="F16" s="495"/>
      <c r="G16" s="495"/>
      <c r="H16" s="495"/>
      <c r="I16" s="495"/>
    </row>
    <row r="17" ht="30">
      <c r="A17" s="285" t="s">
        <v>154</v>
      </c>
      <c r="B17" s="285" t="s">
        <v>127</v>
      </c>
      <c r="C17" s="285"/>
      <c r="D17" s="223" t="s">
        <v>155</v>
      </c>
      <c r="E17" s="221" t="s">
        <v>8</v>
      </c>
      <c r="F17" s="222"/>
      <c r="G17" s="223" t="s">
        <v>156</v>
      </c>
      <c r="H17" s="496" t="s">
        <v>230</v>
      </c>
      <c r="I17" s="223" t="s">
        <v>158</v>
      </c>
    </row>
    <row r="18" ht="57">
      <c r="A18" s="510" t="s">
        <v>47</v>
      </c>
      <c r="B18" s="225" t="s">
        <v>385</v>
      </c>
      <c r="C18" s="230">
        <v>1</v>
      </c>
      <c r="D18" s="261" t="s">
        <v>173</v>
      </c>
      <c r="E18" s="280">
        <v>0.070000000000000007</v>
      </c>
      <c r="F18" s="280" t="s">
        <v>58</v>
      </c>
      <c r="G18" s="347" t="s">
        <v>398</v>
      </c>
      <c r="H18" s="511" t="s">
        <v>62</v>
      </c>
      <c r="I18" s="261" t="s">
        <v>66</v>
      </c>
    </row>
    <row r="19" ht="42.75">
      <c r="A19" s="512"/>
      <c r="B19" s="231"/>
      <c r="C19" s="230">
        <v>2</v>
      </c>
      <c r="D19" s="261" t="s">
        <v>211</v>
      </c>
      <c r="E19" s="513">
        <v>0.5</v>
      </c>
      <c r="F19" s="514" t="s">
        <v>24</v>
      </c>
      <c r="G19" s="347" t="s">
        <v>399</v>
      </c>
      <c r="H19" s="511" t="s">
        <v>62</v>
      </c>
      <c r="I19" s="261" t="s">
        <v>66</v>
      </c>
    </row>
    <row r="20" ht="57">
      <c r="A20" s="512"/>
      <c r="B20" s="231"/>
      <c r="C20" s="230">
        <v>3</v>
      </c>
      <c r="D20" s="261" t="s">
        <v>104</v>
      </c>
      <c r="E20" s="513">
        <v>0.5</v>
      </c>
      <c r="F20" s="514" t="s">
        <v>24</v>
      </c>
      <c r="G20" s="347" t="s">
        <v>400</v>
      </c>
      <c r="H20" s="19" t="s">
        <v>62</v>
      </c>
      <c r="I20" s="261" t="s">
        <v>63</v>
      </c>
    </row>
    <row r="21" ht="28.5">
      <c r="A21" s="512"/>
      <c r="B21" s="231"/>
      <c r="C21" s="230">
        <v>4</v>
      </c>
      <c r="D21" s="261" t="s">
        <v>94</v>
      </c>
      <c r="E21" s="515">
        <v>0.25</v>
      </c>
      <c r="F21" s="516" t="s">
        <v>13</v>
      </c>
      <c r="G21" s="401" t="s">
        <v>401</v>
      </c>
      <c r="H21" s="19" t="s">
        <v>62</v>
      </c>
      <c r="I21" s="229" t="s">
        <v>66</v>
      </c>
    </row>
    <row r="22" ht="28.5">
      <c r="A22" s="512"/>
      <c r="B22" s="231"/>
      <c r="C22" s="230">
        <v>5</v>
      </c>
      <c r="D22" s="261" t="s">
        <v>65</v>
      </c>
      <c r="E22" s="361" t="s">
        <v>250</v>
      </c>
      <c r="F22" s="517" t="s">
        <v>251</v>
      </c>
      <c r="G22" s="309" t="s">
        <v>402</v>
      </c>
      <c r="H22" s="19" t="s">
        <v>62</v>
      </c>
      <c r="I22" s="229" t="s">
        <v>66</v>
      </c>
    </row>
    <row r="23" ht="28.5">
      <c r="A23" s="512"/>
      <c r="B23" s="231"/>
      <c r="C23" s="230">
        <v>6</v>
      </c>
      <c r="D23" s="261" t="s">
        <v>79</v>
      </c>
      <c r="E23" s="306">
        <v>0.75</v>
      </c>
      <c r="F23" s="518" t="s">
        <v>27</v>
      </c>
      <c r="G23" s="243" t="s">
        <v>403</v>
      </c>
      <c r="H23" s="19" t="s">
        <v>62</v>
      </c>
      <c r="I23" s="243" t="s">
        <v>63</v>
      </c>
    </row>
    <row r="24" ht="57">
      <c r="A24" s="512"/>
      <c r="B24" s="231"/>
      <c r="C24" s="230">
        <v>7</v>
      </c>
      <c r="D24" s="261" t="s">
        <v>100</v>
      </c>
      <c r="E24" s="439" t="s">
        <v>250</v>
      </c>
      <c r="F24" s="457" t="s">
        <v>251</v>
      </c>
      <c r="G24" s="347" t="s">
        <v>404</v>
      </c>
      <c r="H24" s="19" t="s">
        <v>62</v>
      </c>
      <c r="I24" s="243" t="s">
        <v>63</v>
      </c>
    </row>
    <row r="25" ht="57">
      <c r="A25" s="512"/>
      <c r="B25" s="231"/>
      <c r="C25" s="230">
        <v>8</v>
      </c>
      <c r="D25" s="206" t="s">
        <v>90</v>
      </c>
      <c r="E25" s="439" t="s">
        <v>250</v>
      </c>
      <c r="F25" s="457" t="s">
        <v>251</v>
      </c>
      <c r="G25" s="347" t="s">
        <v>405</v>
      </c>
      <c r="H25" s="19" t="s">
        <v>62</v>
      </c>
      <c r="I25" s="243" t="s">
        <v>70</v>
      </c>
    </row>
    <row r="26" ht="45">
      <c r="A26" s="512"/>
      <c r="B26" s="231"/>
      <c r="C26" s="230">
        <v>9</v>
      </c>
      <c r="D26" s="206" t="s">
        <v>98</v>
      </c>
      <c r="E26" s="519">
        <v>0.14000000000000001</v>
      </c>
      <c r="F26" s="280" t="s">
        <v>58</v>
      </c>
      <c r="G26" s="176" t="s">
        <v>406</v>
      </c>
      <c r="H26" s="19" t="s">
        <v>62</v>
      </c>
      <c r="I26" s="243" t="s">
        <v>70</v>
      </c>
    </row>
    <row r="27" ht="30">
      <c r="A27" s="512"/>
      <c r="B27" s="231"/>
      <c r="C27" s="68">
        <v>10</v>
      </c>
      <c r="D27" s="82" t="s">
        <v>82</v>
      </c>
      <c r="E27" s="483">
        <v>1</v>
      </c>
      <c r="F27" s="467" t="s">
        <v>30</v>
      </c>
      <c r="G27" s="205" t="s">
        <v>407</v>
      </c>
      <c r="H27" s="19" t="s">
        <v>62</v>
      </c>
      <c r="I27" s="243" t="s">
        <v>66</v>
      </c>
    </row>
    <row r="28" ht="42.75">
      <c r="A28" s="512"/>
      <c r="B28" s="231"/>
      <c r="C28" s="68">
        <v>11</v>
      </c>
      <c r="D28" s="82" t="s">
        <v>69</v>
      </c>
      <c r="E28" s="520">
        <v>0</v>
      </c>
      <c r="F28" s="521" t="s">
        <v>161</v>
      </c>
      <c r="G28" s="82" t="s">
        <v>408</v>
      </c>
      <c r="H28" s="19" t="s">
        <v>62</v>
      </c>
      <c r="I28" s="243" t="s">
        <v>70</v>
      </c>
    </row>
    <row r="29" ht="28.5">
      <c r="A29" s="512"/>
      <c r="B29" s="231"/>
      <c r="C29" s="68">
        <v>12</v>
      </c>
      <c r="D29" s="82" t="s">
        <v>61</v>
      </c>
      <c r="E29" s="439" t="s">
        <v>250</v>
      </c>
      <c r="F29" s="457" t="s">
        <v>251</v>
      </c>
      <c r="G29" s="82" t="s">
        <v>409</v>
      </c>
      <c r="H29" s="19" t="s">
        <v>62</v>
      </c>
      <c r="I29" s="243" t="s">
        <v>70</v>
      </c>
    </row>
    <row r="30" ht="28.5">
      <c r="A30" s="512"/>
      <c r="B30" s="231"/>
      <c r="C30" s="68">
        <v>13</v>
      </c>
      <c r="D30" s="82" t="s">
        <v>67</v>
      </c>
      <c r="E30" s="361" t="s">
        <v>250</v>
      </c>
      <c r="F30" s="499" t="s">
        <v>251</v>
      </c>
      <c r="G30" s="205" t="s">
        <v>410</v>
      </c>
      <c r="H30" s="19" t="s">
        <v>62</v>
      </c>
      <c r="I30" s="68" t="s">
        <v>66</v>
      </c>
    </row>
    <row r="31" ht="28.5">
      <c r="A31" s="512"/>
      <c r="B31" s="231"/>
      <c r="C31" s="68">
        <v>14</v>
      </c>
      <c r="D31" s="82" t="s">
        <v>85</v>
      </c>
      <c r="E31" s="317">
        <v>0.5</v>
      </c>
      <c r="F31" s="514" t="s">
        <v>24</v>
      </c>
      <c r="G31" s="82" t="s">
        <v>411</v>
      </c>
      <c r="H31" s="19" t="s">
        <v>62</v>
      </c>
      <c r="I31" s="68" t="s">
        <v>70</v>
      </c>
    </row>
    <row r="32" ht="28.5">
      <c r="A32" s="512"/>
      <c r="B32" s="231"/>
      <c r="C32" s="68">
        <v>15</v>
      </c>
      <c r="D32" s="82" t="s">
        <v>185</v>
      </c>
      <c r="E32" s="441">
        <v>0.25</v>
      </c>
      <c r="F32" s="441" t="s">
        <v>13</v>
      </c>
      <c r="G32" s="82" t="s">
        <v>412</v>
      </c>
      <c r="H32" s="19" t="s">
        <v>62</v>
      </c>
      <c r="I32" s="68" t="s">
        <v>63</v>
      </c>
    </row>
    <row r="33" ht="28.5">
      <c r="A33" s="512"/>
      <c r="B33" s="231"/>
      <c r="C33" s="68">
        <v>16</v>
      </c>
      <c r="D33" s="82" t="s">
        <v>72</v>
      </c>
      <c r="E33" s="453">
        <v>0.69999999999999996</v>
      </c>
      <c r="F33" s="518" t="s">
        <v>27</v>
      </c>
      <c r="G33" s="82" t="s">
        <v>403</v>
      </c>
      <c r="H33" s="19" t="s">
        <v>62</v>
      </c>
      <c r="I33" s="209" t="s">
        <v>66</v>
      </c>
    </row>
    <row r="34" ht="42.75">
      <c r="A34" s="512"/>
      <c r="B34" s="231"/>
      <c r="C34" s="68">
        <v>17</v>
      </c>
      <c r="D34" s="82" t="s">
        <v>88</v>
      </c>
      <c r="E34" s="522">
        <v>0.10000000000000001</v>
      </c>
      <c r="F34" s="522" t="s">
        <v>58</v>
      </c>
      <c r="G34" s="82" t="s">
        <v>413</v>
      </c>
      <c r="H34" s="19" t="s">
        <v>62</v>
      </c>
      <c r="I34" s="209" t="s">
        <v>66</v>
      </c>
    </row>
    <row r="35" ht="114">
      <c r="A35" s="512"/>
      <c r="B35" s="231"/>
      <c r="C35" s="68">
        <v>18</v>
      </c>
      <c r="D35" s="82" t="s">
        <v>93</v>
      </c>
      <c r="E35" s="372">
        <v>0</v>
      </c>
      <c r="F35" s="522" t="s">
        <v>58</v>
      </c>
      <c r="G35" s="82" t="s">
        <v>414</v>
      </c>
      <c r="H35" s="19" t="s">
        <v>62</v>
      </c>
      <c r="I35" s="68" t="s">
        <v>66</v>
      </c>
    </row>
    <row r="36" ht="28.5">
      <c r="A36" s="512"/>
      <c r="B36" s="231"/>
      <c r="C36" s="68">
        <v>19</v>
      </c>
      <c r="D36" s="82" t="s">
        <v>80</v>
      </c>
      <c r="E36" s="522">
        <v>0.20000000000000001</v>
      </c>
      <c r="F36" s="522" t="s">
        <v>58</v>
      </c>
      <c r="G36" s="82" t="s">
        <v>415</v>
      </c>
      <c r="H36" s="19" t="s">
        <v>62</v>
      </c>
      <c r="I36" s="68" t="s">
        <v>70</v>
      </c>
    </row>
    <row r="37" ht="99.75">
      <c r="A37" s="512"/>
      <c r="B37" s="231"/>
      <c r="C37" s="68">
        <v>20</v>
      </c>
      <c r="D37" s="82" t="s">
        <v>91</v>
      </c>
      <c r="E37" s="376">
        <v>0.5</v>
      </c>
      <c r="F37" s="84" t="s">
        <v>24</v>
      </c>
      <c r="G37" s="82" t="s">
        <v>416</v>
      </c>
      <c r="H37" s="19" t="s">
        <v>62</v>
      </c>
      <c r="I37" s="68" t="s">
        <v>66</v>
      </c>
    </row>
    <row r="38" ht="28.5">
      <c r="A38" s="512"/>
      <c r="B38" s="231"/>
      <c r="C38" s="68">
        <v>21</v>
      </c>
      <c r="D38" s="68" t="s">
        <v>92</v>
      </c>
      <c r="E38" s="377">
        <v>0.56999999999999995</v>
      </c>
      <c r="F38" s="84" t="s">
        <v>24</v>
      </c>
      <c r="G38" s="82" t="s">
        <v>417</v>
      </c>
      <c r="H38" s="19" t="s">
        <v>62</v>
      </c>
      <c r="I38" s="209" t="s">
        <v>63</v>
      </c>
    </row>
    <row r="39" ht="42.75">
      <c r="A39" s="512"/>
      <c r="B39" s="231"/>
      <c r="C39" s="68">
        <v>22</v>
      </c>
      <c r="D39" s="82" t="s">
        <v>74</v>
      </c>
      <c r="E39" s="520">
        <v>0</v>
      </c>
      <c r="F39" s="521" t="s">
        <v>161</v>
      </c>
      <c r="G39" s="82" t="s">
        <v>418</v>
      </c>
      <c r="H39" s="19" t="s">
        <v>62</v>
      </c>
      <c r="I39" s="68" t="s">
        <v>63</v>
      </c>
    </row>
    <row r="40" ht="28.5">
      <c r="A40" s="512"/>
      <c r="B40" s="231"/>
      <c r="C40" s="68">
        <v>23</v>
      </c>
      <c r="D40" s="82" t="s">
        <v>84</v>
      </c>
      <c r="E40" s="374">
        <v>0.33000000000000002</v>
      </c>
      <c r="F40" s="374" t="s">
        <v>13</v>
      </c>
      <c r="G40" s="82" t="s">
        <v>419</v>
      </c>
      <c r="H40" s="19" t="s">
        <v>62</v>
      </c>
      <c r="I40" s="68" t="s">
        <v>70</v>
      </c>
    </row>
    <row r="41" ht="71.25">
      <c r="A41" s="512"/>
      <c r="B41" s="231"/>
      <c r="C41" s="68">
        <v>24</v>
      </c>
      <c r="D41" s="82" t="s">
        <v>77</v>
      </c>
      <c r="E41" s="372">
        <v>0</v>
      </c>
      <c r="F41" s="522" t="s">
        <v>58</v>
      </c>
      <c r="G41" s="209" t="s">
        <v>420</v>
      </c>
      <c r="H41" s="19" t="s">
        <v>62</v>
      </c>
      <c r="I41" s="209" t="s">
        <v>70</v>
      </c>
    </row>
    <row r="42" ht="28.5">
      <c r="A42" s="512"/>
      <c r="B42" s="231"/>
      <c r="C42" s="68">
        <v>25</v>
      </c>
      <c r="D42" s="68" t="s">
        <v>76</v>
      </c>
      <c r="E42" s="379">
        <v>0.42999999999999999</v>
      </c>
      <c r="F42" s="379" t="s">
        <v>27</v>
      </c>
      <c r="G42" s="82" t="s">
        <v>403</v>
      </c>
      <c r="H42" s="19" t="s">
        <v>62</v>
      </c>
      <c r="I42" s="68" t="s">
        <v>70</v>
      </c>
    </row>
    <row r="43" ht="71.25">
      <c r="A43" s="523"/>
      <c r="B43" s="244"/>
      <c r="C43" s="68">
        <v>26</v>
      </c>
      <c r="D43" s="68" t="s">
        <v>96</v>
      </c>
      <c r="E43" s="374">
        <v>0.38</v>
      </c>
      <c r="F43" s="374" t="s">
        <v>13</v>
      </c>
      <c r="G43" s="82" t="s">
        <v>421</v>
      </c>
      <c r="H43" s="19" t="s">
        <v>62</v>
      </c>
      <c r="I43" s="68" t="s">
        <v>66</v>
      </c>
    </row>
    <row r="44" ht="14.25">
      <c r="E44" s="323">
        <f>(E18+E19+E20+E21+E23+E26+E27+E31+E32+E33+E34+E35+E36+E37+E38+E39+E40+E41+E42+E43)/21</f>
        <v>0.34142857142857141</v>
      </c>
    </row>
    <row r="45" ht="15">
      <c r="A45" s="324" t="s">
        <v>193</v>
      </c>
      <c r="B45" s="324"/>
      <c r="C45" s="324"/>
      <c r="D45" s="324"/>
      <c r="E45" s="324"/>
      <c r="F45" s="324"/>
      <c r="G45" s="324"/>
      <c r="H45" s="324"/>
      <c r="I45" s="324"/>
    </row>
    <row r="46" ht="60">
      <c r="A46" s="176" t="s">
        <v>394</v>
      </c>
      <c r="B46" s="168" t="s">
        <v>395</v>
      </c>
      <c r="C46" s="169"/>
      <c r="D46" s="170"/>
      <c r="E46" s="326">
        <v>0.34000000000000002</v>
      </c>
      <c r="F46" s="524" t="s">
        <v>13</v>
      </c>
      <c r="G46" s="72" t="s">
        <v>422</v>
      </c>
      <c r="H46" s="73"/>
      <c r="I46" s="74"/>
    </row>
    <row r="47" ht="14.25"/>
  </sheetData>
  <mergeCells count="14">
    <mergeCell ref="A1:I1"/>
    <mergeCell ref="E2:F2"/>
    <mergeCell ref="A3:A11"/>
    <mergeCell ref="B3:B11"/>
    <mergeCell ref="A13:I13"/>
    <mergeCell ref="B14:D14"/>
    <mergeCell ref="G14:I14"/>
    <mergeCell ref="A16:I16"/>
    <mergeCell ref="E17:F17"/>
    <mergeCell ref="A18:A43"/>
    <mergeCell ref="B18:B43"/>
    <mergeCell ref="A45:I45"/>
    <mergeCell ref="B46:D46"/>
    <mergeCell ref="G46:I46"/>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D1001E-0048-46B6-B6C1-006700E100D1}">
            <xm:f>NOT(ISERROR(SEARCH("Высокий уровень",D9)))</xm:f>
            <x14:dxf>
              <fill>
                <patternFill patternType="solid">
                  <fgColor rgb="FF70AD47"/>
                  <bgColor rgb="FF70AD47"/>
                </patternFill>
              </fill>
            </x14:dxf>
          </x14:cfRule>
          <xm:sqref>F12</xm:sqref>
        </x14:conditionalFormatting>
        <x14:conditionalFormatting xmlns:xm="http://schemas.microsoft.com/office/excel/2006/main">
          <x14:cfRule type="containsText" priority="6" text="Высокий уровень" id="{00320086-009A-42C3-B46F-009B003F009A}">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DB007D-00FC-48AA-B323-003B00EC0053}">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9F00E6-0008-45CD-922E-00F800190009}">
            <xm:f>NOT(ISERROR(SEARCH("Высокий уровень",D9)))</xm:f>
            <x14:dxf>
              <fill>
                <patternFill patternType="solid">
                  <fgColor rgb="FF70AD47"/>
                  <bgColor rgb="FF70AD47"/>
                </patternFill>
              </fill>
            </x14:dxf>
          </x14:cfRule>
          <xm:sqref>F45</xm:sqref>
        </x14:conditionalFormatting>
        <x14:conditionalFormatting xmlns:xm="http://schemas.microsoft.com/office/excel/2006/main">
          <x14:cfRule type="containsText" priority="6" text="Высокий уровень" id="{00300070-001F-4396-B4A2-0000004E00E9}">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ше среднего" id="{00F90054-00AE-45A6-9C96-0028000C005E}">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940020-004B-408B-9311-00CE008F009B}">
            <xm:f>NOT(ISERROR(SEARCH("Выше среднего",D9)))</xm:f>
            <x14:dxf>
              <fill>
                <patternFill patternType="solid">
                  <fgColor rgb="FFA9D08D"/>
                  <bgColor rgb="FFA9D08D"/>
                </patternFill>
              </fill>
            </x14:dxf>
          </x14:cfRule>
          <xm:sqref>F12</xm:sqref>
        </x14:conditionalFormatting>
        <x14:conditionalFormatting xmlns:xm="http://schemas.microsoft.com/office/excel/2006/main">
          <x14:cfRule type="containsText" priority="5" text="Выше среднего" id="{000900D1-00FA-4420-A6AA-001300180064}">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4F000E-0019-43F0-B895-00A900D10048}">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7F00C5-00C4-41E4-B11D-007000360025}">
            <xm:f>NOT(ISERROR(SEARCH("Выше среднего",D9)))</xm:f>
            <x14:dxf>
              <fill>
                <patternFill patternType="solid">
                  <fgColor rgb="FFA9D08D"/>
                  <bgColor rgb="FFA9D08D"/>
                </patternFill>
              </fill>
            </x14:dxf>
          </x14:cfRule>
          <xm:sqref>F45</xm:sqref>
        </x14:conditionalFormatting>
        <x14:conditionalFormatting xmlns:xm="http://schemas.microsoft.com/office/excel/2006/main">
          <x14:cfRule type="containsText" priority="5" text="Выше среднего" id="{00430072-00E5-40DE-8EA4-00C500930053}">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Средний уровень" id="{00C80028-0046-4180-B87D-0075008600FE}">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100057-00B4-45EA-B285-00A600D10017}">
            <xm:f>NOT(ISERROR(SEARCH("Средний уровень",D9)))</xm:f>
            <x14:dxf>
              <font>
                <color theme="1" tint="0"/>
              </font>
              <fill>
                <patternFill patternType="solid">
                  <fgColor indexed="5"/>
                  <bgColor indexed="5"/>
                </patternFill>
              </fill>
            </x14:dxf>
          </x14:cfRule>
          <xm:sqref>F12</xm:sqref>
        </x14:conditionalFormatting>
        <x14:conditionalFormatting xmlns:xm="http://schemas.microsoft.com/office/excel/2006/main">
          <x14:cfRule type="containsText" priority="4" text="Средний уровень" id="{00DF004E-00A0-4A8C-BE29-00DB00C700EA}">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F60055-0030-42F8-A8A0-00BE00130033}">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2700FE-003D-4110-A78B-001500CA00B6}">
            <xm:f>NOT(ISERROR(SEARCH("Средний уровень",D9)))</xm:f>
            <x14:dxf>
              <font>
                <color theme="1" tint="0"/>
              </font>
              <fill>
                <patternFill patternType="solid">
                  <fgColor indexed="5"/>
                  <bgColor indexed="5"/>
                </patternFill>
              </fill>
            </x14:dxf>
          </x14:cfRule>
          <xm:sqref>F45</xm:sqref>
        </x14:conditionalFormatting>
        <x14:conditionalFormatting xmlns:xm="http://schemas.microsoft.com/office/excel/2006/main">
          <x14:cfRule type="containsText" priority="4" text="Средний уровень" id="{00420008-0086-4858-BA1C-002F00A4000E}">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Ниже среднего" id="{00B800B9-005F-4384-A090-001100E4004E}">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5E0061-001F-4CA8-BDA7-00CA00770072}">
            <xm:f>NOT(ISERROR(SEARCH("Ниже среднего",D9)))</xm:f>
            <x14:dxf>
              <fill>
                <patternFill patternType="solid">
                  <fgColor rgb="FFED7D31"/>
                  <bgColor rgb="FFED7D31"/>
                </patternFill>
              </fill>
            </x14:dxf>
          </x14:cfRule>
          <xm:sqref>F12</xm:sqref>
        </x14:conditionalFormatting>
        <x14:conditionalFormatting xmlns:xm="http://schemas.microsoft.com/office/excel/2006/main">
          <x14:cfRule type="containsText" priority="3" text="Ниже среднего" id="{00C10020-0093-46B3-BE46-0095007600E9}">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2400D3-00C2-47D6-85DC-00B900500038}">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B500E2-00B8-4B43-829F-00FE00E400A6}">
            <xm:f>NOT(ISERROR(SEARCH("Ниже среднего",D9)))</xm:f>
            <x14:dxf>
              <fill>
                <patternFill patternType="solid">
                  <fgColor rgb="FFED7D31"/>
                  <bgColor rgb="FFED7D31"/>
                </patternFill>
              </fill>
            </x14:dxf>
          </x14:cfRule>
          <xm:sqref>F45</xm:sqref>
        </x14:conditionalFormatting>
        <x14:conditionalFormatting xmlns:xm="http://schemas.microsoft.com/office/excel/2006/main">
          <x14:cfRule type="containsText" priority="3" text="Ниже среднего" id="{00B40036-0080-4ECB-BC65-001F00AC002F}">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зкий уровень" id="{0096006A-00CE-425E-A3D3-00AD00CB00F6}">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8C0019-00FA-43E6-932B-00270024001E}">
            <xm:f>NOT(ISERROR(SEARCH("Низкий уровень",D9)))</xm:f>
            <x14:dxf>
              <fill>
                <patternFill patternType="solid">
                  <fgColor indexed="2"/>
                  <bgColor indexed="2"/>
                </patternFill>
              </fill>
            </x14:dxf>
          </x14:cfRule>
          <xm:sqref>F12</xm:sqref>
        </x14:conditionalFormatting>
        <x14:conditionalFormatting xmlns:xm="http://schemas.microsoft.com/office/excel/2006/main">
          <x14:cfRule type="containsText" priority="2" text="Низкий уровень" id="{00FF00D6-0099-49CF-8D59-00B6001700DE}">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6C00C5-000C-4376-BB52-00D600F50045}">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5F00CC-0080-4E41-B582-0016007300D7}">
            <xm:f>NOT(ISERROR(SEARCH("Низкий уровень",D9)))</xm:f>
            <x14:dxf>
              <fill>
                <patternFill patternType="solid">
                  <fgColor indexed="2"/>
                  <bgColor indexed="2"/>
                </patternFill>
              </fill>
            </x14:dxf>
          </x14:cfRule>
          <xm:sqref>F45</xm:sqref>
        </x14:conditionalFormatting>
        <x14:conditionalFormatting xmlns:xm="http://schemas.microsoft.com/office/excel/2006/main">
          <x14:cfRule type="containsText" priority="2" text="Низкий уровень" id="{00CB0016-006C-4DED-A682-005300F300A4}">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евозможно измерить" id="{00AB0052-00C2-4F66-B454-00EC00CD0084}">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0D009A-0082-4135-813A-00BC002900B8}">
            <xm:f>NOT(ISERROR(SEARCH("Невозможно измерить",D9)))</xm:f>
            <x14:dxf>
              <fill>
                <patternFill patternType="solid">
                  <fgColor rgb="FF7F7F7F"/>
                  <bgColor rgb="FF7F7F7F"/>
                </patternFill>
              </fill>
            </x14:dxf>
          </x14:cfRule>
          <xm:sqref>F12</xm:sqref>
        </x14:conditionalFormatting>
        <x14:conditionalFormatting xmlns:xm="http://schemas.microsoft.com/office/excel/2006/main">
          <x14:cfRule type="containsText" priority="1" text="Невозможно измерить" id="{00D50095-000F-4A31-B86F-004300B000F5}">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D900BC-0076-4E55-9CC7-006000E80003}">
            <xm:f>NOT(ISERROR(SEARCH("Невозможно измерить",D9)))</xm:f>
            <x14:dxf>
              <fill>
                <patternFill patternType="solid">
                  <fgColor rgb="FF7F7F7F"/>
                  <bgColor rgb="FF7F7F7F"/>
                </patternFill>
              </fill>
            </x14:dxf>
          </x14:cfRule>
          <xm:sqref>F45</xm:sqref>
        </x14:conditionalFormatting>
        <x14:conditionalFormatting xmlns:xm="http://schemas.microsoft.com/office/excel/2006/main">
          <x14:cfRule type="containsText" priority="1" text="Невозможно измерить" id="{00230055-007F-446B-861A-002C00A80043}">
            <xm:f>NOT(ISERROR(SEARCH("Невозможно измерить",D9)))</xm:f>
            <x14:dxf>
              <fill>
                <patternFill patternType="solid">
                  <fgColor rgb="FF7F7F7F"/>
                  <bgColor rgb="FF7F7F7F"/>
                </patternFill>
              </fill>
            </x14:dxf>
          </x14:cfRule>
          <xm:sqref>F46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8" zoomScale="100" workbookViewId="0">
      <selection activeCell="A1" activeCellId="0" sqref="A1"/>
    </sheetView>
  </sheetViews>
  <sheetFormatPr defaultRowHeight="14.25"/>
  <cols>
    <col customWidth="1" min="1" max="1" width="15.421875"/>
    <col customWidth="1" min="2" max="2" width="19.57421875"/>
    <col customWidth="1" min="3" max="3" width="6.00390625"/>
    <col customWidth="1" min="4" max="4" width="22.57421875"/>
    <col customWidth="1" min="5" max="5" width="11.7109375"/>
    <col customWidth="1" min="6" max="6" width="15.421875"/>
    <col customWidth="1" min="7" max="7" width="50.421875"/>
    <col customWidth="1" min="8" max="8" width="9.57421875"/>
    <col customWidth="1" min="9" max="9" width="24.28125"/>
  </cols>
  <sheetData>
    <row r="1" ht="15">
      <c r="A1" s="495" t="s">
        <v>153</v>
      </c>
      <c r="B1" s="495"/>
      <c r="C1" s="495"/>
      <c r="D1" s="495"/>
      <c r="E1" s="495"/>
      <c r="F1" s="495"/>
      <c r="G1" s="495"/>
      <c r="H1" s="495"/>
      <c r="I1" s="495"/>
    </row>
    <row r="2" ht="30">
      <c r="A2" s="525" t="s">
        <v>154</v>
      </c>
      <c r="B2" s="525" t="s">
        <v>127</v>
      </c>
      <c r="C2" s="525" t="s">
        <v>196</v>
      </c>
      <c r="D2" s="526" t="s">
        <v>155</v>
      </c>
      <c r="E2" s="527" t="s">
        <v>8</v>
      </c>
      <c r="F2" s="528"/>
      <c r="G2" s="526" t="s">
        <v>156</v>
      </c>
      <c r="H2" s="529" t="s">
        <v>230</v>
      </c>
      <c r="I2" s="223" t="s">
        <v>158</v>
      </c>
    </row>
    <row r="3" ht="61.5" customHeight="1">
      <c r="A3" s="530" t="s">
        <v>47</v>
      </c>
      <c r="B3" s="531" t="s">
        <v>423</v>
      </c>
      <c r="C3" s="19">
        <v>1</v>
      </c>
      <c r="D3" s="261" t="s">
        <v>29</v>
      </c>
      <c r="E3" s="287">
        <v>1</v>
      </c>
      <c r="F3" s="532" t="s">
        <v>30</v>
      </c>
      <c r="G3" s="347" t="s">
        <v>424</v>
      </c>
      <c r="H3" s="292" t="s">
        <v>14</v>
      </c>
      <c r="I3" s="147" t="s">
        <v>15</v>
      </c>
    </row>
    <row r="4" ht="57.75" customHeight="1">
      <c r="A4" s="533"/>
      <c r="B4" s="534"/>
      <c r="C4" s="19">
        <v>2</v>
      </c>
      <c r="D4" s="261" t="s">
        <v>26</v>
      </c>
      <c r="E4" s="19" t="s">
        <v>250</v>
      </c>
      <c r="F4" s="535" t="s">
        <v>425</v>
      </c>
      <c r="G4" s="347" t="s">
        <v>426</v>
      </c>
      <c r="H4" s="292" t="s">
        <v>14</v>
      </c>
      <c r="I4" s="147" t="s">
        <v>15</v>
      </c>
    </row>
    <row r="5" ht="57">
      <c r="A5" s="533"/>
      <c r="B5" s="534"/>
      <c r="C5" s="19">
        <v>3</v>
      </c>
      <c r="D5" s="261" t="s">
        <v>12</v>
      </c>
      <c r="E5" s="19" t="s">
        <v>250</v>
      </c>
      <c r="F5" s="535" t="s">
        <v>251</v>
      </c>
      <c r="G5" s="264" t="s">
        <v>427</v>
      </c>
      <c r="H5" s="176" t="s">
        <v>14</v>
      </c>
      <c r="I5" s="147" t="s">
        <v>15</v>
      </c>
    </row>
    <row r="6" ht="71.25">
      <c r="A6" s="533"/>
      <c r="B6" s="534"/>
      <c r="C6" s="19">
        <v>4</v>
      </c>
      <c r="D6" s="260" t="s">
        <v>20</v>
      </c>
      <c r="E6" s="19" t="s">
        <v>250</v>
      </c>
      <c r="F6" s="535" t="s">
        <v>251</v>
      </c>
      <c r="G6" s="401" t="s">
        <v>428</v>
      </c>
      <c r="H6" s="176" t="s">
        <v>14</v>
      </c>
      <c r="I6" s="147" t="s">
        <v>15</v>
      </c>
    </row>
    <row r="7" ht="28.5">
      <c r="A7" s="533"/>
      <c r="B7" s="534"/>
      <c r="C7" s="19">
        <v>5</v>
      </c>
      <c r="D7" s="27" t="s">
        <v>23</v>
      </c>
      <c r="E7" s="19" t="s">
        <v>250</v>
      </c>
      <c r="F7" s="535" t="s">
        <v>251</v>
      </c>
      <c r="G7" s="347" t="s">
        <v>429</v>
      </c>
      <c r="H7" s="176" t="s">
        <v>14</v>
      </c>
      <c r="I7" s="147" t="s">
        <v>15</v>
      </c>
    </row>
    <row r="8" ht="57">
      <c r="A8" s="533"/>
      <c r="B8" s="534"/>
      <c r="C8" s="19">
        <v>6</v>
      </c>
      <c r="D8" s="347" t="s">
        <v>22</v>
      </c>
      <c r="E8" s="19" t="s">
        <v>250</v>
      </c>
      <c r="F8" s="535" t="s">
        <v>251</v>
      </c>
      <c r="G8" s="176" t="s">
        <v>430</v>
      </c>
      <c r="H8" s="176" t="s">
        <v>14</v>
      </c>
      <c r="I8" s="147" t="s">
        <v>15</v>
      </c>
    </row>
    <row r="9" ht="69.75" customHeight="1">
      <c r="A9" s="533"/>
      <c r="B9" s="534"/>
      <c r="C9" s="19">
        <v>7</v>
      </c>
      <c r="D9" s="347" t="s">
        <v>19</v>
      </c>
      <c r="E9" s="458">
        <v>0</v>
      </c>
      <c r="F9" s="536" t="s">
        <v>161</v>
      </c>
      <c r="G9" s="347" t="s">
        <v>431</v>
      </c>
      <c r="H9" s="176" t="s">
        <v>14</v>
      </c>
      <c r="I9" s="147" t="s">
        <v>15</v>
      </c>
      <c r="K9" s="3"/>
    </row>
    <row r="10" ht="60">
      <c r="A10" s="533"/>
      <c r="B10" s="534"/>
      <c r="C10" s="19">
        <v>8</v>
      </c>
      <c r="D10" s="347" t="s">
        <v>32</v>
      </c>
      <c r="E10" s="19" t="s">
        <v>250</v>
      </c>
      <c r="F10" s="535" t="s">
        <v>251</v>
      </c>
      <c r="G10" s="268" t="s">
        <v>284</v>
      </c>
      <c r="H10" s="347" t="s">
        <v>168</v>
      </c>
      <c r="I10" s="147" t="s">
        <v>15</v>
      </c>
    </row>
    <row r="11" ht="42.75">
      <c r="A11" s="537"/>
      <c r="B11" s="538"/>
      <c r="C11" s="101">
        <v>9</v>
      </c>
      <c r="D11" s="82" t="s">
        <v>17</v>
      </c>
      <c r="E11" s="19" t="s">
        <v>250</v>
      </c>
      <c r="F11" s="535" t="s">
        <v>251</v>
      </c>
      <c r="G11" s="205" t="s">
        <v>430</v>
      </c>
      <c r="H11" s="176" t="s">
        <v>14</v>
      </c>
      <c r="I11" s="147" t="s">
        <v>15</v>
      </c>
    </row>
    <row r="12" ht="15">
      <c r="A12" s="539"/>
      <c r="B12" s="540"/>
      <c r="C12" s="3"/>
      <c r="D12" s="102"/>
      <c r="E12" s="249">
        <f>(E3+E9)/2</f>
        <v>0.5</v>
      </c>
      <c r="F12" s="541"/>
      <c r="G12" s="542"/>
      <c r="H12" s="102"/>
      <c r="I12" s="543"/>
    </row>
    <row r="13" ht="15">
      <c r="A13" s="302" t="s">
        <v>193</v>
      </c>
      <c r="B13" s="275"/>
      <c r="C13" s="275"/>
      <c r="D13" s="275"/>
      <c r="E13" s="275"/>
      <c r="F13" s="275"/>
      <c r="G13" s="275"/>
      <c r="H13" s="275"/>
      <c r="I13" s="275"/>
    </row>
    <row r="14" ht="15">
      <c r="A14" s="275"/>
      <c r="B14" s="275"/>
      <c r="C14" s="275"/>
      <c r="D14" s="275"/>
      <c r="E14" s="275"/>
      <c r="F14" s="275"/>
      <c r="G14" s="275"/>
      <c r="H14" s="275"/>
      <c r="I14" s="275"/>
    </row>
    <row r="15" ht="76.5" customHeight="1">
      <c r="A15" s="147" t="s">
        <v>394</v>
      </c>
      <c r="B15" s="147" t="s">
        <v>423</v>
      </c>
      <c r="C15" s="147"/>
      <c r="D15" s="147"/>
      <c r="E15" s="387">
        <v>0.5</v>
      </c>
      <c r="F15" s="354" t="s">
        <v>24</v>
      </c>
      <c r="G15" s="72" t="s">
        <v>432</v>
      </c>
      <c r="H15" s="73"/>
      <c r="I15" s="74"/>
    </row>
    <row r="16" ht="14.25"/>
    <row r="17" ht="15">
      <c r="A17" s="495" t="s">
        <v>433</v>
      </c>
      <c r="B17" s="495"/>
      <c r="C17" s="495"/>
      <c r="D17" s="495"/>
      <c r="E17" s="495"/>
      <c r="F17" s="495"/>
      <c r="G17" s="495"/>
      <c r="H17" s="495"/>
      <c r="I17" s="495"/>
    </row>
    <row r="18" ht="30">
      <c r="A18" s="525" t="s">
        <v>154</v>
      </c>
      <c r="B18" s="525" t="s">
        <v>127</v>
      </c>
      <c r="C18" s="525" t="s">
        <v>196</v>
      </c>
      <c r="D18" s="526" t="s">
        <v>155</v>
      </c>
      <c r="E18" s="527" t="s">
        <v>8</v>
      </c>
      <c r="F18" s="528"/>
      <c r="G18" s="526" t="s">
        <v>156</v>
      </c>
      <c r="H18" s="529" t="s">
        <v>230</v>
      </c>
      <c r="I18" s="223" t="s">
        <v>158</v>
      </c>
    </row>
    <row r="19" ht="99.75">
      <c r="A19" s="530" t="s">
        <v>47</v>
      </c>
      <c r="B19" s="531" t="s">
        <v>423</v>
      </c>
      <c r="C19" s="19">
        <v>1</v>
      </c>
      <c r="D19" s="261" t="s">
        <v>173</v>
      </c>
      <c r="E19" s="290">
        <v>0</v>
      </c>
      <c r="F19" s="544" t="s">
        <v>161</v>
      </c>
      <c r="G19" s="347" t="s">
        <v>434</v>
      </c>
      <c r="H19" s="147" t="s">
        <v>62</v>
      </c>
      <c r="I19" s="261" t="s">
        <v>66</v>
      </c>
    </row>
    <row r="20" ht="99.75">
      <c r="A20" s="533"/>
      <c r="B20" s="534"/>
      <c r="C20" s="19">
        <v>2</v>
      </c>
      <c r="D20" s="261" t="s">
        <v>211</v>
      </c>
      <c r="E20" s="287">
        <v>1</v>
      </c>
      <c r="F20" s="392" t="s">
        <v>30</v>
      </c>
      <c r="G20" s="347" t="s">
        <v>435</v>
      </c>
      <c r="H20" s="147" t="s">
        <v>62</v>
      </c>
      <c r="I20" s="261" t="s">
        <v>66</v>
      </c>
    </row>
    <row r="21" ht="57">
      <c r="A21" s="533"/>
      <c r="B21" s="534"/>
      <c r="C21" s="19">
        <v>3</v>
      </c>
      <c r="D21" s="261" t="s">
        <v>104</v>
      </c>
      <c r="E21" s="287">
        <v>1</v>
      </c>
      <c r="F21" s="392" t="s">
        <v>30</v>
      </c>
      <c r="G21" s="264" t="s">
        <v>436</v>
      </c>
      <c r="H21" s="19" t="s">
        <v>62</v>
      </c>
      <c r="I21" s="261" t="s">
        <v>63</v>
      </c>
    </row>
    <row r="22" ht="57">
      <c r="A22" s="533"/>
      <c r="B22" s="534"/>
      <c r="C22" s="19">
        <v>4</v>
      </c>
      <c r="D22" s="261" t="s">
        <v>94</v>
      </c>
      <c r="E22" s="287">
        <v>1</v>
      </c>
      <c r="F22" s="288" t="s">
        <v>30</v>
      </c>
      <c r="G22" s="401" t="s">
        <v>437</v>
      </c>
      <c r="H22" s="19" t="s">
        <v>62</v>
      </c>
      <c r="I22" s="265" t="s">
        <v>66</v>
      </c>
    </row>
    <row r="23" ht="42.75">
      <c r="A23" s="533"/>
      <c r="B23" s="534"/>
      <c r="C23" s="19">
        <v>5</v>
      </c>
      <c r="D23" s="347" t="s">
        <v>65</v>
      </c>
      <c r="E23" s="361" t="s">
        <v>250</v>
      </c>
      <c r="F23" s="545" t="s">
        <v>251</v>
      </c>
      <c r="G23" s="347" t="s">
        <v>438</v>
      </c>
      <c r="H23" s="19" t="s">
        <v>62</v>
      </c>
      <c r="I23" s="229" t="s">
        <v>66</v>
      </c>
    </row>
    <row r="24" ht="42.75">
      <c r="A24" s="533"/>
      <c r="B24" s="534"/>
      <c r="C24" s="19">
        <v>6</v>
      </c>
      <c r="D24" s="347" t="s">
        <v>79</v>
      </c>
      <c r="E24" s="19" t="s">
        <v>250</v>
      </c>
      <c r="F24" s="436" t="s">
        <v>292</v>
      </c>
      <c r="G24" s="347" t="s">
        <v>438</v>
      </c>
      <c r="H24" s="19" t="s">
        <v>62</v>
      </c>
      <c r="I24" s="243" t="s">
        <v>63</v>
      </c>
    </row>
    <row r="25" ht="57">
      <c r="A25" s="533"/>
      <c r="B25" s="534"/>
      <c r="C25" s="19">
        <v>7</v>
      </c>
      <c r="D25" s="347" t="s">
        <v>100</v>
      </c>
      <c r="E25" s="19" t="s">
        <v>250</v>
      </c>
      <c r="F25" s="436" t="s">
        <v>292</v>
      </c>
      <c r="G25" s="260" t="s">
        <v>426</v>
      </c>
      <c r="H25" s="19" t="s">
        <v>62</v>
      </c>
      <c r="I25" s="243" t="s">
        <v>63</v>
      </c>
    </row>
    <row r="26" ht="128.25">
      <c r="A26" s="533"/>
      <c r="B26" s="534"/>
      <c r="C26" s="19">
        <v>8</v>
      </c>
      <c r="D26" s="206" t="s">
        <v>90</v>
      </c>
      <c r="E26" s="19" t="s">
        <v>250</v>
      </c>
      <c r="F26" s="436" t="s">
        <v>292</v>
      </c>
      <c r="G26" s="260" t="s">
        <v>439</v>
      </c>
      <c r="H26" s="19" t="s">
        <v>62</v>
      </c>
      <c r="I26" s="243" t="s">
        <v>70</v>
      </c>
    </row>
    <row r="27" ht="71.25">
      <c r="A27" s="533"/>
      <c r="B27" s="534"/>
      <c r="C27" s="19">
        <v>9</v>
      </c>
      <c r="D27" s="206" t="s">
        <v>98</v>
      </c>
      <c r="E27" s="19" t="s">
        <v>250</v>
      </c>
      <c r="F27" s="436" t="s">
        <v>292</v>
      </c>
      <c r="G27" s="260" t="s">
        <v>440</v>
      </c>
      <c r="H27" s="19" t="s">
        <v>62</v>
      </c>
      <c r="I27" s="243" t="s">
        <v>70</v>
      </c>
    </row>
    <row r="28" ht="42.75">
      <c r="A28" s="533"/>
      <c r="B28" s="534"/>
      <c r="C28" s="19">
        <v>10</v>
      </c>
      <c r="D28" s="206" t="s">
        <v>82</v>
      </c>
      <c r="E28" s="19" t="s">
        <v>250</v>
      </c>
      <c r="F28" s="436" t="s">
        <v>292</v>
      </c>
      <c r="G28" s="260" t="s">
        <v>441</v>
      </c>
      <c r="H28" s="19" t="s">
        <v>62</v>
      </c>
      <c r="I28" s="243" t="s">
        <v>66</v>
      </c>
    </row>
    <row r="29" ht="85.5">
      <c r="A29" s="533"/>
      <c r="B29" s="534"/>
      <c r="C29" s="311">
        <v>11</v>
      </c>
      <c r="D29" s="82" t="s">
        <v>69</v>
      </c>
      <c r="E29" s="19" t="s">
        <v>250</v>
      </c>
      <c r="F29" s="436" t="s">
        <v>292</v>
      </c>
      <c r="G29" s="205" t="s">
        <v>442</v>
      </c>
      <c r="H29" s="19" t="s">
        <v>62</v>
      </c>
      <c r="I29" s="243" t="s">
        <v>70</v>
      </c>
    </row>
    <row r="30" ht="57">
      <c r="A30" s="533"/>
      <c r="B30" s="534"/>
      <c r="C30" s="311">
        <v>12</v>
      </c>
      <c r="D30" s="82" t="s">
        <v>61</v>
      </c>
      <c r="E30" s="19" t="s">
        <v>250</v>
      </c>
      <c r="F30" s="436" t="s">
        <v>292</v>
      </c>
      <c r="G30" s="82" t="s">
        <v>438</v>
      </c>
      <c r="H30" s="19" t="s">
        <v>62</v>
      </c>
      <c r="I30" s="243" t="s">
        <v>70</v>
      </c>
    </row>
    <row r="31" ht="28.5">
      <c r="A31" s="533"/>
      <c r="B31" s="534"/>
      <c r="C31" s="311">
        <v>13</v>
      </c>
      <c r="D31" s="82" t="s">
        <v>67</v>
      </c>
      <c r="E31" s="19" t="s">
        <v>250</v>
      </c>
      <c r="F31" s="436" t="s">
        <v>292</v>
      </c>
      <c r="G31" s="205" t="s">
        <v>443</v>
      </c>
      <c r="H31" s="19" t="s">
        <v>62</v>
      </c>
      <c r="I31" s="68" t="s">
        <v>66</v>
      </c>
    </row>
    <row r="32" ht="42.75">
      <c r="A32" s="533"/>
      <c r="B32" s="534"/>
      <c r="C32" s="311">
        <v>14</v>
      </c>
      <c r="D32" s="82" t="s">
        <v>85</v>
      </c>
      <c r="E32" s="370">
        <v>1</v>
      </c>
      <c r="F32" s="320" t="s">
        <v>30</v>
      </c>
      <c r="G32" s="82" t="s">
        <v>444</v>
      </c>
      <c r="H32" s="19" t="s">
        <v>62</v>
      </c>
      <c r="I32" s="68" t="s">
        <v>70</v>
      </c>
    </row>
    <row r="33" ht="71.25">
      <c r="A33" s="533"/>
      <c r="B33" s="534"/>
      <c r="C33" s="311">
        <v>15</v>
      </c>
      <c r="D33" s="82" t="s">
        <v>185</v>
      </c>
      <c r="E33" s="370">
        <v>1</v>
      </c>
      <c r="F33" s="320" t="s">
        <v>30</v>
      </c>
      <c r="G33" s="205" t="s">
        <v>445</v>
      </c>
      <c r="H33" s="19" t="s">
        <v>62</v>
      </c>
      <c r="I33" s="68" t="s">
        <v>63</v>
      </c>
    </row>
    <row r="34" ht="57">
      <c r="A34" s="533"/>
      <c r="B34" s="534"/>
      <c r="C34" s="68">
        <v>16</v>
      </c>
      <c r="D34" s="82" t="s">
        <v>72</v>
      </c>
      <c r="E34" s="361" t="s">
        <v>250</v>
      </c>
      <c r="F34" s="545" t="s">
        <v>251</v>
      </c>
      <c r="G34" s="209" t="s">
        <v>446</v>
      </c>
      <c r="H34" s="19" t="s">
        <v>62</v>
      </c>
      <c r="I34" s="209" t="s">
        <v>66</v>
      </c>
    </row>
    <row r="35" ht="42.75">
      <c r="A35" s="533"/>
      <c r="B35" s="534"/>
      <c r="C35" s="68">
        <v>17</v>
      </c>
      <c r="D35" s="82" t="s">
        <v>88</v>
      </c>
      <c r="E35" s="19" t="s">
        <v>250</v>
      </c>
      <c r="F35" s="436" t="s">
        <v>292</v>
      </c>
      <c r="G35" s="101" t="s">
        <v>447</v>
      </c>
      <c r="H35" s="19" t="s">
        <v>62</v>
      </c>
      <c r="I35" s="209" t="s">
        <v>66</v>
      </c>
    </row>
    <row r="36" ht="57">
      <c r="A36" s="533"/>
      <c r="B36" s="534"/>
      <c r="C36" s="68">
        <v>18</v>
      </c>
      <c r="D36" s="82" t="s">
        <v>93</v>
      </c>
      <c r="E36" s="19" t="s">
        <v>250</v>
      </c>
      <c r="F36" s="436" t="s">
        <v>292</v>
      </c>
      <c r="G36" s="209" t="s">
        <v>448</v>
      </c>
      <c r="H36" s="19" t="s">
        <v>62</v>
      </c>
      <c r="I36" s="209" t="s">
        <v>66</v>
      </c>
    </row>
    <row r="37" ht="57">
      <c r="A37" s="533"/>
      <c r="B37" s="534"/>
      <c r="C37" s="68">
        <v>19</v>
      </c>
      <c r="D37" s="82" t="s">
        <v>80</v>
      </c>
      <c r="E37" s="19" t="s">
        <v>250</v>
      </c>
      <c r="F37" s="436" t="s">
        <v>292</v>
      </c>
      <c r="G37" s="209" t="s">
        <v>449</v>
      </c>
      <c r="H37" s="19" t="s">
        <v>62</v>
      </c>
      <c r="I37" s="68" t="s">
        <v>70</v>
      </c>
    </row>
    <row r="38" ht="42.75">
      <c r="A38" s="533"/>
      <c r="B38" s="534"/>
      <c r="C38" s="68">
        <v>20</v>
      </c>
      <c r="D38" s="82" t="s">
        <v>91</v>
      </c>
      <c r="E38" s="19" t="s">
        <v>250</v>
      </c>
      <c r="F38" s="436" t="s">
        <v>292</v>
      </c>
      <c r="G38" s="209" t="s">
        <v>450</v>
      </c>
      <c r="H38" s="19" t="s">
        <v>62</v>
      </c>
      <c r="I38" s="209" t="s">
        <v>66</v>
      </c>
    </row>
    <row r="39" ht="28.5">
      <c r="A39" s="533"/>
      <c r="B39" s="534"/>
      <c r="C39" s="68">
        <v>21</v>
      </c>
      <c r="D39" s="82" t="s">
        <v>92</v>
      </c>
      <c r="E39" s="19" t="s">
        <v>250</v>
      </c>
      <c r="F39" s="436" t="s">
        <v>292</v>
      </c>
      <c r="G39" s="82" t="s">
        <v>451</v>
      </c>
      <c r="H39" s="19" t="s">
        <v>62</v>
      </c>
      <c r="I39" s="209" t="s">
        <v>63</v>
      </c>
    </row>
    <row r="40" ht="85.5">
      <c r="A40" s="533"/>
      <c r="B40" s="534"/>
      <c r="C40" s="68">
        <v>22</v>
      </c>
      <c r="D40" s="82" t="s">
        <v>74</v>
      </c>
      <c r="E40" s="19" t="s">
        <v>250</v>
      </c>
      <c r="F40" s="436" t="s">
        <v>292</v>
      </c>
      <c r="G40" s="68" t="s">
        <v>450</v>
      </c>
      <c r="H40" s="19" t="s">
        <v>62</v>
      </c>
      <c r="I40" s="68" t="s">
        <v>63</v>
      </c>
    </row>
    <row r="41" ht="57">
      <c r="A41" s="533"/>
      <c r="B41" s="534"/>
      <c r="C41" s="68">
        <v>23</v>
      </c>
      <c r="D41" s="82" t="s">
        <v>84</v>
      </c>
      <c r="E41" s="19" t="s">
        <v>250</v>
      </c>
      <c r="F41" s="436" t="s">
        <v>292</v>
      </c>
      <c r="G41" s="82" t="s">
        <v>452</v>
      </c>
      <c r="H41" s="19" t="s">
        <v>62</v>
      </c>
      <c r="I41" s="68" t="s">
        <v>70</v>
      </c>
    </row>
    <row r="42" ht="156.75">
      <c r="A42" s="533"/>
      <c r="B42" s="534"/>
      <c r="C42" s="68">
        <v>24</v>
      </c>
      <c r="D42" s="82" t="s">
        <v>77</v>
      </c>
      <c r="E42" s="19" t="s">
        <v>250</v>
      </c>
      <c r="F42" s="436" t="s">
        <v>292</v>
      </c>
      <c r="G42" s="209" t="s">
        <v>453</v>
      </c>
      <c r="H42" s="19" t="s">
        <v>62</v>
      </c>
      <c r="I42" s="209" t="s">
        <v>70</v>
      </c>
    </row>
    <row r="43" ht="28.5">
      <c r="A43" s="533"/>
      <c r="B43" s="534"/>
      <c r="C43" s="68">
        <v>25</v>
      </c>
      <c r="D43" s="82" t="s">
        <v>76</v>
      </c>
      <c r="E43" s="19" t="s">
        <v>250</v>
      </c>
      <c r="F43" s="436" t="s">
        <v>292</v>
      </c>
      <c r="G43" s="82" t="s">
        <v>349</v>
      </c>
      <c r="H43" s="19" t="s">
        <v>62</v>
      </c>
      <c r="I43" s="68" t="s">
        <v>70</v>
      </c>
    </row>
    <row r="44" ht="42.75">
      <c r="A44" s="537"/>
      <c r="B44" s="538"/>
      <c r="C44" s="68">
        <v>26</v>
      </c>
      <c r="D44" s="82" t="s">
        <v>96</v>
      </c>
      <c r="E44" s="443" t="s">
        <v>250</v>
      </c>
      <c r="F44" s="436" t="s">
        <v>292</v>
      </c>
      <c r="G44" s="82" t="s">
        <v>454</v>
      </c>
      <c r="H44" s="19" t="s">
        <v>62</v>
      </c>
      <c r="I44" s="209" t="s">
        <v>66</v>
      </c>
    </row>
    <row r="45" ht="14.25">
      <c r="D45" s="102"/>
      <c r="E45" s="323">
        <f>(E19+E20+E21+E22+E32+E33)/6</f>
        <v>0.83333333333333337</v>
      </c>
    </row>
    <row r="46" ht="15">
      <c r="A46" s="302" t="s">
        <v>193</v>
      </c>
      <c r="B46" s="275"/>
      <c r="C46" s="275"/>
      <c r="D46" s="275"/>
      <c r="E46" s="275"/>
      <c r="F46" s="275"/>
      <c r="G46" s="275"/>
      <c r="H46" s="275"/>
      <c r="I46" s="275"/>
    </row>
    <row r="47" ht="15">
      <c r="A47" s="278"/>
      <c r="B47" s="278"/>
      <c r="C47" s="278"/>
      <c r="D47" s="278"/>
      <c r="E47" s="278"/>
      <c r="F47" s="278"/>
      <c r="G47" s="278"/>
      <c r="H47" s="278"/>
      <c r="I47" s="278"/>
    </row>
    <row r="48" ht="60">
      <c r="A48" s="147" t="s">
        <v>394</v>
      </c>
      <c r="B48" s="72" t="s">
        <v>423</v>
      </c>
      <c r="C48" s="73"/>
      <c r="D48" s="74"/>
      <c r="E48" s="477">
        <v>0.82999999999999996</v>
      </c>
      <c r="F48" s="287" t="s">
        <v>30</v>
      </c>
      <c r="G48" s="72" t="s">
        <v>455</v>
      </c>
      <c r="H48" s="73"/>
      <c r="I48" s="74"/>
    </row>
  </sheetData>
  <mergeCells count="12">
    <mergeCell ref="A1:I1"/>
    <mergeCell ref="E2:F2"/>
    <mergeCell ref="A3:A11"/>
    <mergeCell ref="B3:B11"/>
    <mergeCell ref="B15:D15"/>
    <mergeCell ref="G15:I15"/>
    <mergeCell ref="A17:I17"/>
    <mergeCell ref="E18:F18"/>
    <mergeCell ref="A19:A44"/>
    <mergeCell ref="B19:B44"/>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ше среднего" id="{008800EA-00EB-4393-8C6D-0051001100A8}">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6" text="Выше среднего" id="{004000A2-0053-4D3D-9438-00BE002D009C}">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Средний уровень" id="{00BC006A-00EC-4D79-BD8D-00300002003C}">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5" text="Средний уровень" id="{00BD0023-00BB-4115-84D7-006600960095}">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Ниже среднего" id="{00FB00E8-0085-405F-994D-009B007400CC}">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4" text="Ниже среднего" id="{00360030-006B-46FA-8009-00C800A700B3}">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зкий уровень" id="{00E200A3-0031-444D-B502-00C70060006D}">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3" text="Низкий уровень" id="{0090009B-0005-48C4-85E9-00E2000900C8}">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евозможно измерить" id="{006E00D4-00D9-49BB-8EF5-00F000360079}">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2" text="Невозможно измерить" id="{007500B1-008E-4707-8776-005E009C0080}">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72001E-00FE-45AA-A253-005B007800EF}">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7E005C-00EA-4405-9BE8-004F00000007}">
            <xm:f>NOT(ISERROR(SEARCH("Невозможно измерить",D9)))</xm:f>
            <x14:dxf>
              <fill>
                <patternFill patternType="solid">
                  <fgColor rgb="FF7F7F7F"/>
                  <bgColor rgb="FF7F7F7F"/>
                </patternFill>
              </fill>
            </x14:dxf>
          </x14:cfRule>
          <xm:sqref>F47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1" zoomScale="100" workbookViewId="0">
      <selection activeCell="A1" activeCellId="0" sqref="A1"/>
    </sheetView>
  </sheetViews>
  <sheetFormatPr defaultRowHeight="14.25"/>
  <cols>
    <col customWidth="1" min="1" max="1" width="27.00390625"/>
    <col customWidth="1" min="2" max="2" width="23.140625"/>
    <col customWidth="1" min="4" max="4" width="29.421875"/>
    <col customWidth="1" min="6" max="6" width="16.28125"/>
    <col customWidth="1" min="7" max="7" width="45.28125"/>
    <col customWidth="1" min="9" max="9" width="23.8515625"/>
  </cols>
  <sheetData>
    <row r="1" ht="15">
      <c r="A1" s="495" t="s">
        <v>153</v>
      </c>
      <c r="B1" s="495"/>
      <c r="C1" s="495"/>
      <c r="D1" s="495"/>
      <c r="E1" s="495"/>
      <c r="F1" s="495"/>
      <c r="G1" s="495"/>
      <c r="H1" s="495"/>
      <c r="I1" s="495"/>
    </row>
    <row r="2" ht="15">
      <c r="A2" s="525" t="s">
        <v>154</v>
      </c>
      <c r="B2" s="525" t="s">
        <v>127</v>
      </c>
      <c r="C2" s="525" t="s">
        <v>196</v>
      </c>
      <c r="D2" s="526" t="s">
        <v>155</v>
      </c>
      <c r="E2" s="527" t="s">
        <v>8</v>
      </c>
      <c r="F2" s="528"/>
      <c r="G2" s="526" t="s">
        <v>156</v>
      </c>
      <c r="H2" s="529" t="s">
        <v>230</v>
      </c>
      <c r="I2" s="223" t="s">
        <v>158</v>
      </c>
    </row>
    <row r="3" ht="74.25" customHeight="1">
      <c r="A3" s="530" t="s">
        <v>47</v>
      </c>
      <c r="B3" s="531" t="s">
        <v>456</v>
      </c>
      <c r="C3" s="19">
        <v>1</v>
      </c>
      <c r="D3" s="261" t="s">
        <v>29</v>
      </c>
      <c r="E3" s="310">
        <v>1</v>
      </c>
      <c r="F3" s="310" t="s">
        <v>30</v>
      </c>
      <c r="G3" s="347" t="s">
        <v>457</v>
      </c>
      <c r="H3" s="292" t="s">
        <v>14</v>
      </c>
      <c r="I3" s="147" t="s">
        <v>15</v>
      </c>
    </row>
    <row r="4" ht="84" customHeight="1">
      <c r="A4" s="533"/>
      <c r="B4" s="534"/>
      <c r="C4" s="19">
        <v>2</v>
      </c>
      <c r="D4" s="261" t="s">
        <v>26</v>
      </c>
      <c r="E4" s="310">
        <v>1</v>
      </c>
      <c r="F4" s="310" t="s">
        <v>30</v>
      </c>
      <c r="G4" s="260" t="s">
        <v>458</v>
      </c>
      <c r="H4" s="292" t="s">
        <v>14</v>
      </c>
      <c r="I4" s="147" t="s">
        <v>15</v>
      </c>
    </row>
    <row r="5" ht="42.75">
      <c r="A5" s="533"/>
      <c r="B5" s="534"/>
      <c r="C5" s="19">
        <v>3</v>
      </c>
      <c r="D5" s="261" t="s">
        <v>12</v>
      </c>
      <c r="E5" s="287">
        <v>0.95999999999999996</v>
      </c>
      <c r="F5" s="364" t="s">
        <v>30</v>
      </c>
      <c r="G5" s="264" t="s">
        <v>459</v>
      </c>
      <c r="H5" s="292" t="s">
        <v>14</v>
      </c>
      <c r="I5" s="147" t="s">
        <v>15</v>
      </c>
    </row>
    <row r="6" ht="42.75">
      <c r="A6" s="533"/>
      <c r="B6" s="534"/>
      <c r="C6" s="19">
        <v>4</v>
      </c>
      <c r="D6" s="260" t="s">
        <v>20</v>
      </c>
      <c r="E6" s="310">
        <v>1</v>
      </c>
      <c r="F6" s="310" t="s">
        <v>30</v>
      </c>
      <c r="G6" s="264" t="s">
        <v>460</v>
      </c>
      <c r="H6" s="292" t="s">
        <v>14</v>
      </c>
      <c r="I6" s="147" t="s">
        <v>15</v>
      </c>
    </row>
    <row r="7" ht="28.5">
      <c r="A7" s="533"/>
      <c r="B7" s="534"/>
      <c r="C7" s="19">
        <v>5</v>
      </c>
      <c r="D7" s="27" t="s">
        <v>23</v>
      </c>
      <c r="E7" s="19" t="s">
        <v>250</v>
      </c>
      <c r="F7" s="147" t="s">
        <v>251</v>
      </c>
      <c r="G7" s="347" t="s">
        <v>461</v>
      </c>
      <c r="H7" s="292" t="s">
        <v>14</v>
      </c>
      <c r="I7" s="147" t="s">
        <v>15</v>
      </c>
    </row>
    <row r="8" ht="135">
      <c r="A8" s="533"/>
      <c r="B8" s="534"/>
      <c r="C8" s="19">
        <v>6</v>
      </c>
      <c r="D8" s="347" t="s">
        <v>22</v>
      </c>
      <c r="E8" s="19" t="s">
        <v>250</v>
      </c>
      <c r="F8" s="436" t="s">
        <v>251</v>
      </c>
      <c r="G8" s="176" t="s">
        <v>462</v>
      </c>
      <c r="H8" s="292" t="s">
        <v>14</v>
      </c>
      <c r="I8" s="147" t="s">
        <v>15</v>
      </c>
    </row>
    <row r="9" ht="97.5" customHeight="1">
      <c r="A9" s="533"/>
      <c r="B9" s="534"/>
      <c r="C9" s="19">
        <v>7</v>
      </c>
      <c r="D9" s="347" t="s">
        <v>19</v>
      </c>
      <c r="E9" s="19" t="s">
        <v>250</v>
      </c>
      <c r="F9" s="436" t="s">
        <v>251</v>
      </c>
      <c r="G9" s="347" t="s">
        <v>463</v>
      </c>
      <c r="H9" s="292" t="s">
        <v>14</v>
      </c>
      <c r="I9" s="147" t="s">
        <v>15</v>
      </c>
    </row>
    <row r="10" ht="60">
      <c r="A10" s="533"/>
      <c r="B10" s="534"/>
      <c r="C10" s="19">
        <v>8</v>
      </c>
      <c r="D10" s="347" t="s">
        <v>32</v>
      </c>
      <c r="E10" s="19" t="s">
        <v>250</v>
      </c>
      <c r="F10" s="436" t="s">
        <v>251</v>
      </c>
      <c r="G10" s="268" t="s">
        <v>284</v>
      </c>
      <c r="H10" s="229" t="s">
        <v>168</v>
      </c>
      <c r="I10" s="147" t="s">
        <v>15</v>
      </c>
    </row>
    <row r="11" ht="42.75">
      <c r="A11" s="537"/>
      <c r="B11" s="538"/>
      <c r="C11" s="19">
        <v>9</v>
      </c>
      <c r="D11" s="347" t="s">
        <v>17</v>
      </c>
      <c r="E11" s="19" t="s">
        <v>250</v>
      </c>
      <c r="F11" s="436" t="s">
        <v>251</v>
      </c>
      <c r="G11" s="268" t="s">
        <v>463</v>
      </c>
      <c r="H11" s="292" t="s">
        <v>14</v>
      </c>
      <c r="I11" s="147" t="s">
        <v>15</v>
      </c>
    </row>
    <row r="12" ht="15">
      <c r="A12" s="275"/>
      <c r="B12" s="275"/>
      <c r="C12" s="275"/>
      <c r="D12" s="546"/>
      <c r="E12" s="547">
        <f>(E3+E4+E5+E6)/4</f>
        <v>0.98999999999999999</v>
      </c>
      <c r="F12" s="548"/>
      <c r="G12" s="549"/>
      <c r="H12" s="548"/>
      <c r="I12" s="550"/>
    </row>
    <row r="13" ht="15">
      <c r="A13" s="302" t="s">
        <v>193</v>
      </c>
      <c r="B13" s="275"/>
      <c r="C13" s="275"/>
      <c r="D13" s="275"/>
      <c r="E13" s="275"/>
      <c r="F13" s="275"/>
      <c r="G13" s="275"/>
      <c r="H13" s="275"/>
      <c r="I13" s="275"/>
    </row>
    <row r="14" ht="15">
      <c r="A14" s="278"/>
      <c r="B14" s="278"/>
      <c r="C14" s="278"/>
      <c r="D14" s="278"/>
      <c r="E14" s="278"/>
      <c r="F14" s="278"/>
      <c r="G14" s="278"/>
      <c r="H14" s="278"/>
      <c r="I14" s="278"/>
    </row>
    <row r="15" ht="66" customHeight="1">
      <c r="A15" s="261" t="s">
        <v>464</v>
      </c>
      <c r="B15" s="72" t="s">
        <v>456</v>
      </c>
      <c r="C15" s="73"/>
      <c r="D15" s="74"/>
      <c r="E15" s="551">
        <v>0.98999999999999999</v>
      </c>
      <c r="F15" s="392" t="s">
        <v>30</v>
      </c>
      <c r="G15" s="72" t="s">
        <v>465</v>
      </c>
      <c r="H15" s="73"/>
      <c r="I15" s="74"/>
    </row>
    <row r="16" ht="14.25"/>
    <row r="17" ht="15">
      <c r="A17" s="495" t="s">
        <v>433</v>
      </c>
      <c r="B17" s="495"/>
      <c r="C17" s="495"/>
      <c r="D17" s="495"/>
      <c r="E17" s="495"/>
      <c r="F17" s="495"/>
      <c r="G17" s="495"/>
      <c r="H17" s="495"/>
      <c r="I17" s="495"/>
    </row>
    <row r="18" ht="15">
      <c r="A18" s="525" t="s">
        <v>154</v>
      </c>
      <c r="B18" s="525" t="s">
        <v>127</v>
      </c>
      <c r="C18" s="525" t="s">
        <v>196</v>
      </c>
      <c r="D18" s="526" t="s">
        <v>155</v>
      </c>
      <c r="E18" s="527" t="s">
        <v>8</v>
      </c>
      <c r="F18" s="528"/>
      <c r="G18" s="526" t="s">
        <v>156</v>
      </c>
      <c r="H18" s="529" t="s">
        <v>230</v>
      </c>
      <c r="I18" s="223" t="s">
        <v>158</v>
      </c>
    </row>
    <row r="19" ht="42.75">
      <c r="A19" s="552" t="s">
        <v>47</v>
      </c>
      <c r="B19" s="553" t="s">
        <v>456</v>
      </c>
      <c r="C19" s="19">
        <v>1</v>
      </c>
      <c r="D19" s="261" t="s">
        <v>173</v>
      </c>
      <c r="E19" s="306">
        <v>0.79000000000000004</v>
      </c>
      <c r="F19" s="467" t="s">
        <v>27</v>
      </c>
      <c r="G19" s="261" t="s">
        <v>466</v>
      </c>
      <c r="H19" s="147" t="s">
        <v>62</v>
      </c>
      <c r="I19" s="261" t="s">
        <v>66</v>
      </c>
    </row>
    <row r="20" ht="71.25">
      <c r="A20" s="552"/>
      <c r="B20" s="553"/>
      <c r="C20" s="19">
        <v>2</v>
      </c>
      <c r="D20" s="261" t="s">
        <v>211</v>
      </c>
      <c r="E20" s="287">
        <v>1</v>
      </c>
      <c r="F20" s="392" t="s">
        <v>30</v>
      </c>
      <c r="G20" s="261" t="s">
        <v>467</v>
      </c>
      <c r="H20" s="147" t="s">
        <v>62</v>
      </c>
      <c r="I20" s="261" t="s">
        <v>66</v>
      </c>
    </row>
    <row r="21" ht="71.25">
      <c r="A21" s="552"/>
      <c r="B21" s="553"/>
      <c r="C21" s="554">
        <v>3</v>
      </c>
      <c r="D21" s="261" t="s">
        <v>104</v>
      </c>
      <c r="E21" s="287">
        <v>1</v>
      </c>
      <c r="F21" s="392" t="s">
        <v>30</v>
      </c>
      <c r="G21" s="229" t="s">
        <v>468</v>
      </c>
      <c r="H21" s="19" t="s">
        <v>62</v>
      </c>
      <c r="I21" s="261" t="s">
        <v>63</v>
      </c>
    </row>
    <row r="22" ht="42.75">
      <c r="A22" s="552"/>
      <c r="B22" s="553"/>
      <c r="C22" s="554">
        <v>4</v>
      </c>
      <c r="D22" s="261" t="s">
        <v>94</v>
      </c>
      <c r="E22" s="555">
        <v>1</v>
      </c>
      <c r="F22" s="364" t="s">
        <v>30</v>
      </c>
      <c r="G22" s="261" t="s">
        <v>469</v>
      </c>
      <c r="H22" s="19" t="s">
        <v>62</v>
      </c>
      <c r="I22" s="265" t="s">
        <v>66</v>
      </c>
    </row>
    <row r="23" ht="28.5">
      <c r="A23" s="552"/>
      <c r="B23" s="553"/>
      <c r="C23" s="554">
        <v>5</v>
      </c>
      <c r="D23" s="261" t="s">
        <v>65</v>
      </c>
      <c r="E23" s="361" t="s">
        <v>250</v>
      </c>
      <c r="F23" s="556" t="s">
        <v>251</v>
      </c>
      <c r="G23" s="261" t="s">
        <v>470</v>
      </c>
      <c r="H23" s="19" t="s">
        <v>62</v>
      </c>
      <c r="I23" s="229" t="s">
        <v>66</v>
      </c>
    </row>
    <row r="24" ht="42.75">
      <c r="A24" s="552"/>
      <c r="B24" s="553"/>
      <c r="C24" s="554">
        <v>6</v>
      </c>
      <c r="D24" s="261" t="s">
        <v>79</v>
      </c>
      <c r="E24" s="555">
        <v>1</v>
      </c>
      <c r="F24" s="364" t="s">
        <v>30</v>
      </c>
      <c r="G24" s="237" t="s">
        <v>471</v>
      </c>
      <c r="H24" s="19" t="s">
        <v>62</v>
      </c>
      <c r="I24" s="243" t="s">
        <v>63</v>
      </c>
    </row>
    <row r="25" ht="71.25">
      <c r="A25" s="552"/>
      <c r="B25" s="553"/>
      <c r="C25" s="311">
        <v>7</v>
      </c>
      <c r="D25" s="486" t="s">
        <v>100</v>
      </c>
      <c r="E25" s="555">
        <v>1</v>
      </c>
      <c r="F25" s="364" t="s">
        <v>30</v>
      </c>
      <c r="G25" s="314" t="s">
        <v>472</v>
      </c>
      <c r="H25" s="19" t="s">
        <v>62</v>
      </c>
      <c r="I25" s="243" t="s">
        <v>63</v>
      </c>
    </row>
    <row r="26" ht="99.75">
      <c r="A26" s="552"/>
      <c r="B26" s="553"/>
      <c r="C26" s="311">
        <v>8</v>
      </c>
      <c r="D26" s="314" t="s">
        <v>90</v>
      </c>
      <c r="E26" s="361" t="s">
        <v>250</v>
      </c>
      <c r="F26" s="556" t="s">
        <v>251</v>
      </c>
      <c r="G26" s="313" t="s">
        <v>473</v>
      </c>
      <c r="H26" s="19" t="s">
        <v>62</v>
      </c>
      <c r="I26" s="243" t="s">
        <v>70</v>
      </c>
    </row>
    <row r="27" ht="42.75">
      <c r="A27" s="552"/>
      <c r="B27" s="553"/>
      <c r="C27" s="311">
        <v>9</v>
      </c>
      <c r="D27" s="314" t="s">
        <v>98</v>
      </c>
      <c r="E27" s="555">
        <v>1</v>
      </c>
      <c r="F27" s="364" t="s">
        <v>30</v>
      </c>
      <c r="G27" s="314" t="s">
        <v>474</v>
      </c>
      <c r="H27" s="19" t="s">
        <v>62</v>
      </c>
      <c r="I27" s="243" t="s">
        <v>70</v>
      </c>
    </row>
    <row r="28" ht="42.75">
      <c r="A28" s="552"/>
      <c r="B28" s="553"/>
      <c r="C28" s="311">
        <v>10</v>
      </c>
      <c r="D28" s="314" t="s">
        <v>82</v>
      </c>
      <c r="E28" s="361" t="s">
        <v>250</v>
      </c>
      <c r="F28" s="556" t="s">
        <v>251</v>
      </c>
      <c r="G28" s="314" t="s">
        <v>475</v>
      </c>
      <c r="H28" s="19" t="s">
        <v>62</v>
      </c>
      <c r="I28" s="243" t="s">
        <v>66</v>
      </c>
    </row>
    <row r="29" ht="57">
      <c r="A29" s="552"/>
      <c r="B29" s="553"/>
      <c r="C29" s="311">
        <v>11</v>
      </c>
      <c r="D29" s="314" t="s">
        <v>69</v>
      </c>
      <c r="E29" s="361" t="s">
        <v>250</v>
      </c>
      <c r="F29" s="556" t="s">
        <v>251</v>
      </c>
      <c r="G29" s="206" t="s">
        <v>476</v>
      </c>
      <c r="H29" s="19" t="s">
        <v>62</v>
      </c>
      <c r="I29" s="243" t="s">
        <v>70</v>
      </c>
    </row>
    <row r="30" ht="42.75">
      <c r="A30" s="552"/>
      <c r="B30" s="553"/>
      <c r="C30" s="311">
        <v>12</v>
      </c>
      <c r="D30" s="314" t="s">
        <v>61</v>
      </c>
      <c r="E30" s="555">
        <v>1</v>
      </c>
      <c r="F30" s="364" t="s">
        <v>30</v>
      </c>
      <c r="G30" s="314" t="s">
        <v>477</v>
      </c>
      <c r="H30" s="19" t="s">
        <v>62</v>
      </c>
      <c r="I30" s="243" t="s">
        <v>70</v>
      </c>
    </row>
    <row r="31" ht="42.75">
      <c r="A31" s="552"/>
      <c r="B31" s="553"/>
      <c r="C31" s="311">
        <v>13</v>
      </c>
      <c r="D31" s="314" t="s">
        <v>67</v>
      </c>
      <c r="E31" s="361" t="s">
        <v>250</v>
      </c>
      <c r="F31" s="556" t="s">
        <v>251</v>
      </c>
      <c r="G31" s="313" t="s">
        <v>478</v>
      </c>
      <c r="H31" s="19" t="s">
        <v>62</v>
      </c>
      <c r="I31" s="68" t="s">
        <v>66</v>
      </c>
    </row>
    <row r="32" ht="28.5">
      <c r="A32" s="552"/>
      <c r="B32" s="553"/>
      <c r="C32" s="311">
        <v>14</v>
      </c>
      <c r="D32" s="314" t="s">
        <v>85</v>
      </c>
      <c r="E32" s="555">
        <v>1</v>
      </c>
      <c r="F32" s="364" t="s">
        <v>30</v>
      </c>
      <c r="G32" s="313" t="s">
        <v>479</v>
      </c>
      <c r="H32" s="19" t="s">
        <v>62</v>
      </c>
      <c r="I32" s="68" t="s">
        <v>70</v>
      </c>
    </row>
    <row r="33" ht="42.75">
      <c r="A33" s="552"/>
      <c r="B33" s="553"/>
      <c r="C33" s="311">
        <v>15</v>
      </c>
      <c r="D33" s="314" t="s">
        <v>185</v>
      </c>
      <c r="E33" s="555">
        <v>1</v>
      </c>
      <c r="F33" s="364" t="s">
        <v>30</v>
      </c>
      <c r="G33" s="313" t="s">
        <v>445</v>
      </c>
      <c r="H33" s="19" t="s">
        <v>62</v>
      </c>
      <c r="I33" s="68" t="s">
        <v>63</v>
      </c>
    </row>
    <row r="34" ht="42.75">
      <c r="A34" s="552"/>
      <c r="B34" s="553"/>
      <c r="C34" s="101">
        <v>16</v>
      </c>
      <c r="D34" s="82" t="s">
        <v>72</v>
      </c>
      <c r="E34" s="555">
        <v>1</v>
      </c>
      <c r="F34" s="364" t="s">
        <v>30</v>
      </c>
      <c r="G34" s="205" t="s">
        <v>480</v>
      </c>
      <c r="H34" s="19" t="s">
        <v>62</v>
      </c>
      <c r="I34" s="209" t="s">
        <v>66</v>
      </c>
    </row>
    <row r="35" ht="42.75">
      <c r="A35" s="552"/>
      <c r="B35" s="553"/>
      <c r="C35" s="311">
        <v>17</v>
      </c>
      <c r="D35" s="82" t="s">
        <v>88</v>
      </c>
      <c r="E35" s="380">
        <v>0.90000000000000002</v>
      </c>
      <c r="F35" s="364" t="s">
        <v>30</v>
      </c>
      <c r="G35" s="82" t="s">
        <v>481</v>
      </c>
      <c r="H35" s="19" t="s">
        <v>62</v>
      </c>
      <c r="I35" s="209" t="s">
        <v>66</v>
      </c>
    </row>
    <row r="36" ht="42.75">
      <c r="A36" s="552"/>
      <c r="B36" s="553"/>
      <c r="C36" s="311">
        <v>18</v>
      </c>
      <c r="D36" s="82" t="s">
        <v>93</v>
      </c>
      <c r="E36" s="380">
        <v>1</v>
      </c>
      <c r="F36" s="364" t="s">
        <v>30</v>
      </c>
      <c r="G36" s="82" t="s">
        <v>482</v>
      </c>
      <c r="H36" s="19" t="s">
        <v>62</v>
      </c>
      <c r="I36" s="209" t="s">
        <v>66</v>
      </c>
    </row>
    <row r="37" ht="42.75">
      <c r="A37" s="552"/>
      <c r="B37" s="553"/>
      <c r="C37" s="311">
        <v>19</v>
      </c>
      <c r="D37" s="82" t="s">
        <v>80</v>
      </c>
      <c r="E37" s="380">
        <v>1</v>
      </c>
      <c r="F37" s="364" t="s">
        <v>30</v>
      </c>
      <c r="G37" s="82" t="s">
        <v>483</v>
      </c>
      <c r="H37" s="19" t="s">
        <v>62</v>
      </c>
      <c r="I37" s="209" t="s">
        <v>70</v>
      </c>
    </row>
    <row r="38" ht="42.75">
      <c r="A38" s="552"/>
      <c r="B38" s="553"/>
      <c r="C38" s="101">
        <v>20</v>
      </c>
      <c r="D38" s="82" t="s">
        <v>91</v>
      </c>
      <c r="E38" s="380">
        <v>1</v>
      </c>
      <c r="F38" s="364" t="s">
        <v>30</v>
      </c>
      <c r="G38" s="82" t="s">
        <v>484</v>
      </c>
      <c r="H38" s="19" t="s">
        <v>62</v>
      </c>
      <c r="I38" s="209" t="s">
        <v>66</v>
      </c>
    </row>
    <row r="39" ht="28.5">
      <c r="A39" s="552"/>
      <c r="B39" s="553"/>
      <c r="C39" s="101">
        <v>21</v>
      </c>
      <c r="D39" s="82" t="s">
        <v>92</v>
      </c>
      <c r="E39" s="380">
        <v>1</v>
      </c>
      <c r="F39" s="364" t="s">
        <v>30</v>
      </c>
      <c r="G39" s="82" t="s">
        <v>485</v>
      </c>
      <c r="H39" s="19" t="s">
        <v>62</v>
      </c>
      <c r="I39" s="209" t="s">
        <v>63</v>
      </c>
    </row>
    <row r="40" ht="57">
      <c r="A40" s="552"/>
      <c r="B40" s="553"/>
      <c r="C40" s="101">
        <v>22</v>
      </c>
      <c r="D40" s="82" t="s">
        <v>74</v>
      </c>
      <c r="E40" s="557">
        <v>0</v>
      </c>
      <c r="F40" s="558" t="s">
        <v>161</v>
      </c>
      <c r="G40" s="82" t="s">
        <v>486</v>
      </c>
      <c r="H40" s="19" t="s">
        <v>62</v>
      </c>
      <c r="I40" s="209" t="s">
        <v>63</v>
      </c>
    </row>
    <row r="41" ht="42.75">
      <c r="A41" s="552"/>
      <c r="B41" s="553"/>
      <c r="C41" s="101">
        <v>23</v>
      </c>
      <c r="D41" s="82" t="s">
        <v>84</v>
      </c>
      <c r="E41" s="376">
        <v>0.5</v>
      </c>
      <c r="F41" s="97" t="s">
        <v>24</v>
      </c>
      <c r="G41" s="82" t="s">
        <v>487</v>
      </c>
      <c r="H41" s="19" t="s">
        <v>62</v>
      </c>
      <c r="I41" s="209" t="s">
        <v>70</v>
      </c>
    </row>
    <row r="42" ht="114">
      <c r="A42" s="552"/>
      <c r="B42" s="553"/>
      <c r="C42" s="101">
        <v>24</v>
      </c>
      <c r="D42" s="82" t="s">
        <v>77</v>
      </c>
      <c r="E42" s="380">
        <v>1</v>
      </c>
      <c r="F42" s="364" t="s">
        <v>30</v>
      </c>
      <c r="G42" s="205" t="s">
        <v>488</v>
      </c>
      <c r="H42" s="19" t="s">
        <v>62</v>
      </c>
      <c r="I42" s="209" t="s">
        <v>70</v>
      </c>
    </row>
    <row r="43" ht="28.5">
      <c r="A43" s="552"/>
      <c r="B43" s="553"/>
      <c r="C43" s="101">
        <v>25</v>
      </c>
      <c r="D43" s="82" t="s">
        <v>76</v>
      </c>
      <c r="E43" s="380">
        <v>1</v>
      </c>
      <c r="F43" s="364" t="s">
        <v>30</v>
      </c>
      <c r="G43" s="82" t="s">
        <v>480</v>
      </c>
      <c r="H43" s="19" t="s">
        <v>62</v>
      </c>
      <c r="I43" s="209" t="s">
        <v>70</v>
      </c>
    </row>
    <row r="44" ht="57">
      <c r="A44" s="552"/>
      <c r="B44" s="553"/>
      <c r="C44" s="101">
        <v>26</v>
      </c>
      <c r="D44" s="82" t="s">
        <v>96</v>
      </c>
      <c r="E44" s="380">
        <v>0.94999999999999996</v>
      </c>
      <c r="F44" s="500" t="s">
        <v>30</v>
      </c>
      <c r="G44" s="82" t="s">
        <v>489</v>
      </c>
      <c r="H44" s="19"/>
      <c r="I44" s="209" t="s">
        <v>66</v>
      </c>
    </row>
    <row r="45" ht="15">
      <c r="A45" s="559"/>
      <c r="B45" s="245"/>
      <c r="C45" s="105"/>
      <c r="D45" s="102"/>
      <c r="E45" s="323">
        <f>(E19+E20+E21+E22+E24+E25+E27+E30+E32+E33+E34+E35+E36+E37+E38+E39+E41+E40+E42+E43+E44)/21</f>
        <v>0.91142857142857125</v>
      </c>
      <c r="H45" s="249"/>
      <c r="I45" s="215"/>
    </row>
    <row r="46" ht="15">
      <c r="A46" s="302" t="s">
        <v>193</v>
      </c>
      <c r="B46" s="275"/>
      <c r="C46" s="275"/>
      <c r="D46" s="275"/>
      <c r="E46" s="275"/>
      <c r="F46" s="275"/>
      <c r="G46" s="275"/>
      <c r="H46" s="275"/>
      <c r="I46" s="275"/>
    </row>
    <row r="47" ht="15">
      <c r="A47" s="278"/>
      <c r="B47" s="278"/>
      <c r="C47" s="278"/>
      <c r="D47" s="278"/>
      <c r="E47" s="278"/>
      <c r="F47" s="278"/>
      <c r="G47" s="278"/>
      <c r="H47" s="278"/>
      <c r="I47" s="278"/>
    </row>
    <row r="48" ht="65.25" customHeight="1">
      <c r="A48" s="261" t="s">
        <v>47</v>
      </c>
      <c r="B48" s="72" t="s">
        <v>456</v>
      </c>
      <c r="C48" s="73"/>
      <c r="D48" s="74"/>
      <c r="E48" s="551">
        <v>0.91000000000000003</v>
      </c>
      <c r="F48" s="392" t="s">
        <v>30</v>
      </c>
      <c r="G48" s="72" t="s">
        <v>490</v>
      </c>
      <c r="H48" s="73"/>
      <c r="I48" s="74"/>
    </row>
    <row r="49" ht="14.25"/>
  </sheetData>
  <mergeCells count="12">
    <mergeCell ref="A1:I1"/>
    <mergeCell ref="E2:F2"/>
    <mergeCell ref="A3:A11"/>
    <mergeCell ref="B3:B11"/>
    <mergeCell ref="B15:D15"/>
    <mergeCell ref="G15:I15"/>
    <mergeCell ref="A17:I17"/>
    <mergeCell ref="E18:F18"/>
    <mergeCell ref="A19:A44"/>
    <mergeCell ref="B19:B44"/>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A5004A-002A-4625-93CB-0056004C0020}">
            <xm:f>NOT(ISERROR(SEARCH("Высокий уровень",D9)))</xm:f>
            <x14:dxf>
              <fill>
                <patternFill patternType="solid">
                  <fgColor rgb="FF70AD47"/>
                  <bgColor rgb="FF70AD47"/>
                </patternFill>
              </fill>
            </x14:dxf>
          </x14:cfRule>
          <xm:sqref>F12</xm:sqref>
        </x14:conditionalFormatting>
        <x14:conditionalFormatting xmlns:xm="http://schemas.microsoft.com/office/excel/2006/main">
          <x14:cfRule type="containsText" priority="6" text="Выше среднего" id="{00260043-00D1-4F37-9A58-002000A900C7}">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6" text="Выше среднего" id="{00A50065-0080-479D-8508-0062009F0049}">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C00003-00CC-4B9F-819F-007000B50080}">
            <xm:f>NOT(ISERROR(SEARCH("Выше среднего",D9)))</xm:f>
            <x14:dxf>
              <fill>
                <patternFill patternType="solid">
                  <fgColor rgb="FFA9D08D"/>
                  <bgColor rgb="FFA9D08D"/>
                </patternFill>
              </fill>
            </x14:dxf>
          </x14:cfRule>
          <xm:sqref>F12</xm:sqref>
        </x14:conditionalFormatting>
        <x14:conditionalFormatting xmlns:xm="http://schemas.microsoft.com/office/excel/2006/main">
          <x14:cfRule type="containsText" priority="5" text="Средний уровень" id="{004B00E4-00E6-4484-A578-009C005A0019}">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5" text="Средний уровень" id="{001E00ED-005D-41D5-8630-001A0004008F}">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51003F-0077-43D0-A257-0012005000FC}">
            <xm:f>NOT(ISERROR(SEARCH("Средний уровень",D9)))</xm:f>
            <x14:dxf>
              <font>
                <color theme="1" tint="0"/>
              </font>
              <fill>
                <patternFill patternType="solid">
                  <fgColor indexed="5"/>
                  <bgColor indexed="5"/>
                </patternFill>
              </fill>
            </x14:dxf>
          </x14:cfRule>
          <xm:sqref>F12</xm:sqref>
        </x14:conditionalFormatting>
        <x14:conditionalFormatting xmlns:xm="http://schemas.microsoft.com/office/excel/2006/main">
          <x14:cfRule type="containsText" priority="4" text="Ниже среднего" id="{0095008C-00DA-4D7C-BB3C-00D600AF002C}">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4" text="Ниже среднего" id="{009E0004-00B7-4A0E-BD09-00D300280034}">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7800AF-0052-4D7B-A345-0065001E00BB}">
            <xm:f>NOT(ISERROR(SEARCH("Ниже среднего",D9)))</xm:f>
            <x14:dxf>
              <fill>
                <patternFill patternType="solid">
                  <fgColor rgb="FFED7D31"/>
                  <bgColor rgb="FFED7D31"/>
                </patternFill>
              </fill>
            </x14:dxf>
          </x14:cfRule>
          <xm:sqref>F12</xm:sqref>
        </x14:conditionalFormatting>
        <x14:conditionalFormatting xmlns:xm="http://schemas.microsoft.com/office/excel/2006/main">
          <x14:cfRule type="containsText" priority="3" text="Низкий уровень" id="{006500C4-0051-4B38-8A74-001200C100A2}">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3" text="Низкий уровень" id="{00A80011-00BD-4774-A66E-0031009A0000}">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580091-0065-409C-AE5A-006100E500E5}">
            <xm:f>NOT(ISERROR(SEARCH("Низкий уровень",D9)))</xm:f>
            <x14:dxf>
              <fill>
                <patternFill patternType="solid">
                  <fgColor indexed="2"/>
                  <bgColor indexed="2"/>
                </patternFill>
              </fill>
            </x14:dxf>
          </x14:cfRule>
          <xm:sqref>F12</xm:sqref>
        </x14:conditionalFormatting>
        <x14:conditionalFormatting xmlns:xm="http://schemas.microsoft.com/office/excel/2006/main">
          <x14:cfRule type="containsText" priority="2" text="Невозможно измерить" id="{00EB0076-0097-4A49-AE3C-00E800F60083}">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2" text="Невозможно измерить" id="{00DA00F6-0022-41D9-BD94-005E00880058}">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C900DA-0068-4EE4-B1C2-0056002700BD}">
            <xm:f>NOT(ISERROR(SEARCH("Невозможно измерить",D9)))</xm:f>
            <x14:dxf>
              <fill>
                <patternFill patternType="solid">
                  <fgColor rgb="FF7F7F7F"/>
                  <bgColor rgb="FF7F7F7F"/>
                </patternFill>
              </fill>
            </x14:dxf>
          </x14:cfRule>
          <xm:sqref>F12</xm:sqref>
        </x14:conditionalFormatting>
        <x14:conditionalFormatting xmlns:xm="http://schemas.microsoft.com/office/excel/2006/main">
          <x14:cfRule type="containsText" priority="1" text="Невозможно измерить" id="{00230041-004E-4BA0-BEDF-00BC003B004D}">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1A0079-0098-46C1-87E3-0021002A0044}">
            <xm:f>NOT(ISERROR(SEARCH("Невозможно измерить",D9)))</xm:f>
            <x14:dxf>
              <fill>
                <patternFill patternType="solid">
                  <fgColor rgb="FF7F7F7F"/>
                  <bgColor rgb="FF7F7F7F"/>
                </patternFill>
              </fill>
            </x14:dxf>
          </x14:cfRule>
          <xm:sqref>F47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9" zoomScale="100" workbookViewId="0">
      <selection activeCell="A1" activeCellId="0" sqref="A1"/>
    </sheetView>
  </sheetViews>
  <sheetFormatPr defaultRowHeight="14.25"/>
  <cols>
    <col customWidth="1" min="1" max="1" width="20.421875"/>
    <col customWidth="1" min="2" max="2" width="15.7109375"/>
    <col customWidth="1" min="3" max="3" width="7.28125"/>
    <col customWidth="1" min="4" max="4" width="29.28125"/>
    <col customWidth="1" min="5" max="5" width="10.421875"/>
    <col customWidth="1" min="6" max="6" width="18.28125"/>
    <col customWidth="1" min="7" max="7" width="35.57421875"/>
    <col customWidth="1" min="9" max="9" width="24.421875"/>
    <col customWidth="1" min="10" max="10" width="37.8515625"/>
  </cols>
  <sheetData>
    <row r="1" ht="15">
      <c r="A1" s="495" t="s">
        <v>153</v>
      </c>
      <c r="B1" s="495"/>
      <c r="C1" s="495"/>
      <c r="D1" s="495"/>
      <c r="E1" s="495"/>
      <c r="F1" s="495"/>
      <c r="G1" s="495"/>
      <c r="H1" s="495"/>
      <c r="I1" s="495"/>
    </row>
    <row r="2" ht="30">
      <c r="A2" s="525" t="s">
        <v>154</v>
      </c>
      <c r="B2" s="525" t="s">
        <v>127</v>
      </c>
      <c r="C2" s="525" t="s">
        <v>196</v>
      </c>
      <c r="D2" s="526" t="s">
        <v>155</v>
      </c>
      <c r="E2" s="527" t="s">
        <v>8</v>
      </c>
      <c r="F2" s="528"/>
      <c r="G2" s="560" t="s">
        <v>156</v>
      </c>
      <c r="H2" s="389" t="s">
        <v>275</v>
      </c>
      <c r="I2" s="388" t="s">
        <v>158</v>
      </c>
    </row>
    <row r="3" ht="85.5">
      <c r="A3" s="561" t="s">
        <v>47</v>
      </c>
      <c r="B3" s="561" t="s">
        <v>491</v>
      </c>
      <c r="C3" s="261">
        <v>1</v>
      </c>
      <c r="D3" s="261" t="s">
        <v>29</v>
      </c>
      <c r="E3" s="562">
        <v>1</v>
      </c>
      <c r="F3" s="392" t="s">
        <v>30</v>
      </c>
      <c r="G3" s="347" t="s">
        <v>492</v>
      </c>
      <c r="H3" s="292" t="s">
        <v>14</v>
      </c>
      <c r="I3" s="147" t="s">
        <v>15</v>
      </c>
      <c r="J3" s="337"/>
      <c r="K3" s="215"/>
      <c r="L3" s="215"/>
    </row>
    <row r="4" ht="81" customHeight="1">
      <c r="A4" s="563"/>
      <c r="B4" s="563"/>
      <c r="C4" s="261">
        <v>2</v>
      </c>
      <c r="D4" s="261" t="s">
        <v>26</v>
      </c>
      <c r="E4" s="564" t="s">
        <v>250</v>
      </c>
      <c r="F4" s="565" t="s">
        <v>251</v>
      </c>
      <c r="G4" s="260" t="s">
        <v>493</v>
      </c>
      <c r="H4" s="292" t="s">
        <v>14</v>
      </c>
      <c r="I4" s="147" t="s">
        <v>15</v>
      </c>
      <c r="J4" s="215"/>
      <c r="K4" s="215"/>
      <c r="L4" s="215"/>
    </row>
    <row r="5" ht="76.5" customHeight="1">
      <c r="A5" s="563"/>
      <c r="B5" s="563"/>
      <c r="C5" s="261">
        <v>3</v>
      </c>
      <c r="D5" s="261" t="s">
        <v>12</v>
      </c>
      <c r="E5" s="564" t="s">
        <v>250</v>
      </c>
      <c r="F5" s="565" t="s">
        <v>251</v>
      </c>
      <c r="G5" s="229" t="s">
        <v>494</v>
      </c>
      <c r="H5" s="292" t="s">
        <v>14</v>
      </c>
      <c r="I5" s="147" t="s">
        <v>15</v>
      </c>
      <c r="J5" s="215"/>
      <c r="K5" s="215"/>
      <c r="L5" s="215"/>
    </row>
    <row r="6" ht="75.75" customHeight="1">
      <c r="A6" s="563"/>
      <c r="B6" s="563"/>
      <c r="C6" s="261">
        <v>4</v>
      </c>
      <c r="D6" s="260" t="s">
        <v>20</v>
      </c>
      <c r="E6" s="562">
        <v>1</v>
      </c>
      <c r="F6" s="392" t="s">
        <v>30</v>
      </c>
      <c r="G6" s="69" t="s">
        <v>495</v>
      </c>
      <c r="H6" s="292" t="s">
        <v>14</v>
      </c>
      <c r="I6" s="147" t="s">
        <v>15</v>
      </c>
      <c r="J6" s="337"/>
      <c r="K6" s="215"/>
      <c r="L6" s="215"/>
    </row>
    <row r="7" ht="75.75" customHeight="1">
      <c r="A7" s="563"/>
      <c r="B7" s="563"/>
      <c r="C7" s="261">
        <v>5</v>
      </c>
      <c r="D7" s="27" t="s">
        <v>23</v>
      </c>
      <c r="E7" s="564" t="s">
        <v>250</v>
      </c>
      <c r="F7" s="565" t="s">
        <v>251</v>
      </c>
      <c r="G7" s="261" t="s">
        <v>461</v>
      </c>
      <c r="H7" s="292" t="s">
        <v>14</v>
      </c>
      <c r="I7" s="147" t="s">
        <v>15</v>
      </c>
      <c r="J7" s="337"/>
      <c r="K7" s="215"/>
      <c r="L7" s="215"/>
    </row>
    <row r="8" ht="156.75">
      <c r="A8" s="563"/>
      <c r="B8" s="563"/>
      <c r="C8" s="261">
        <v>6</v>
      </c>
      <c r="D8" s="261" t="s">
        <v>22</v>
      </c>
      <c r="E8" s="564" t="s">
        <v>250</v>
      </c>
      <c r="F8" s="565" t="s">
        <v>251</v>
      </c>
      <c r="G8" s="309" t="s">
        <v>391</v>
      </c>
      <c r="H8" s="147" t="s">
        <v>14</v>
      </c>
      <c r="I8" s="147" t="s">
        <v>15</v>
      </c>
    </row>
    <row r="9" ht="137.25" customHeight="1">
      <c r="A9" s="563"/>
      <c r="B9" s="563"/>
      <c r="C9" s="261">
        <v>7</v>
      </c>
      <c r="D9" s="261" t="s">
        <v>19</v>
      </c>
      <c r="E9" s="564" t="s">
        <v>250</v>
      </c>
      <c r="F9" s="565" t="s">
        <v>251</v>
      </c>
      <c r="G9" s="535" t="s">
        <v>463</v>
      </c>
      <c r="H9" s="147" t="s">
        <v>14</v>
      </c>
      <c r="I9" s="18" t="s">
        <v>15</v>
      </c>
    </row>
    <row r="10" ht="57">
      <c r="A10" s="563"/>
      <c r="B10" s="563"/>
      <c r="C10" s="261">
        <v>8</v>
      </c>
      <c r="D10" s="229" t="s">
        <v>32</v>
      </c>
      <c r="E10" s="361" t="s">
        <v>250</v>
      </c>
      <c r="F10" s="565" t="s">
        <v>251</v>
      </c>
      <c r="G10" s="229" t="s">
        <v>284</v>
      </c>
      <c r="H10" s="261" t="s">
        <v>168</v>
      </c>
      <c r="I10" s="18" t="s">
        <v>15</v>
      </c>
    </row>
    <row r="11" ht="57">
      <c r="A11" s="566"/>
      <c r="B11" s="566"/>
      <c r="C11" s="261">
        <v>9</v>
      </c>
      <c r="D11" s="229" t="s">
        <v>17</v>
      </c>
      <c r="E11" s="361" t="s">
        <v>250</v>
      </c>
      <c r="F11" s="565" t="s">
        <v>251</v>
      </c>
      <c r="G11" s="229" t="s">
        <v>430</v>
      </c>
      <c r="H11" s="147" t="s">
        <v>14</v>
      </c>
      <c r="I11" s="18" t="s">
        <v>15</v>
      </c>
    </row>
    <row r="12" ht="20.25" customHeight="1">
      <c r="A12" s="567"/>
      <c r="B12" s="567"/>
      <c r="C12" s="567"/>
      <c r="D12" s="567"/>
      <c r="E12" s="568">
        <f>(E3+E6)/2</f>
        <v>1</v>
      </c>
      <c r="F12" s="569"/>
      <c r="G12" s="567"/>
      <c r="H12" s="567"/>
      <c r="I12" s="567"/>
    </row>
    <row r="13" ht="17.25">
      <c r="A13" s="570" t="s">
        <v>193</v>
      </c>
      <c r="B13" s="567"/>
      <c r="C13" s="567"/>
      <c r="D13" s="567"/>
      <c r="E13" s="567"/>
      <c r="F13" s="567"/>
      <c r="G13" s="567"/>
      <c r="H13" s="567"/>
      <c r="I13" s="567"/>
    </row>
    <row r="14" ht="14.25">
      <c r="A14" s="567"/>
      <c r="B14" s="567"/>
      <c r="C14" s="567"/>
      <c r="D14" s="567"/>
      <c r="E14" s="567"/>
      <c r="F14" s="567"/>
      <c r="G14" s="567"/>
      <c r="H14" s="567"/>
      <c r="I14" s="567"/>
    </row>
    <row r="15" ht="76.5" customHeight="1">
      <c r="A15" s="176" t="s">
        <v>394</v>
      </c>
      <c r="B15" s="176" t="s">
        <v>496</v>
      </c>
      <c r="C15" s="176"/>
      <c r="D15" s="176"/>
      <c r="E15" s="571">
        <v>0.01</v>
      </c>
      <c r="F15" s="345" t="s">
        <v>30</v>
      </c>
      <c r="G15" s="168" t="s">
        <v>497</v>
      </c>
      <c r="H15" s="169"/>
      <c r="I15" s="170"/>
    </row>
    <row r="16" ht="14.25"/>
    <row r="17" ht="15">
      <c r="A17" s="495" t="s">
        <v>327</v>
      </c>
      <c r="B17" s="495"/>
      <c r="C17" s="495"/>
      <c r="D17" s="495"/>
      <c r="E17" s="495"/>
      <c r="F17" s="495"/>
      <c r="G17" s="495"/>
      <c r="H17" s="495"/>
      <c r="I17" s="495"/>
    </row>
    <row r="18" ht="30">
      <c r="A18" s="525" t="s">
        <v>154</v>
      </c>
      <c r="B18" s="525" t="s">
        <v>127</v>
      </c>
      <c r="C18" s="525" t="s">
        <v>196</v>
      </c>
      <c r="D18" s="526" t="s">
        <v>155</v>
      </c>
      <c r="E18" s="527" t="s">
        <v>8</v>
      </c>
      <c r="F18" s="528"/>
      <c r="G18" s="560" t="s">
        <v>156</v>
      </c>
      <c r="H18" s="389" t="s">
        <v>275</v>
      </c>
      <c r="I18" s="388" t="s">
        <v>158</v>
      </c>
    </row>
    <row r="19" ht="42.75">
      <c r="A19" s="561" t="s">
        <v>47</v>
      </c>
      <c r="B19" s="561" t="s">
        <v>491</v>
      </c>
      <c r="C19" s="261">
        <v>1</v>
      </c>
      <c r="D19" s="261" t="s">
        <v>173</v>
      </c>
      <c r="E19" s="572">
        <v>0.5</v>
      </c>
      <c r="F19" s="304" t="s">
        <v>24</v>
      </c>
      <c r="G19" s="347" t="s">
        <v>498</v>
      </c>
      <c r="H19" s="147" t="s">
        <v>62</v>
      </c>
      <c r="I19" s="147" t="s">
        <v>66</v>
      </c>
    </row>
    <row r="20" ht="85.5">
      <c r="A20" s="563"/>
      <c r="B20" s="563"/>
      <c r="C20" s="261">
        <v>2</v>
      </c>
      <c r="D20" s="261" t="s">
        <v>211</v>
      </c>
      <c r="E20" s="562">
        <v>1</v>
      </c>
      <c r="F20" s="392" t="s">
        <v>30</v>
      </c>
      <c r="G20" s="347" t="s">
        <v>499</v>
      </c>
      <c r="H20" s="147" t="s">
        <v>62</v>
      </c>
      <c r="I20" s="261" t="s">
        <v>66</v>
      </c>
    </row>
    <row r="21" ht="85.5">
      <c r="A21" s="563"/>
      <c r="B21" s="563"/>
      <c r="C21" s="261">
        <v>3</v>
      </c>
      <c r="D21" s="261" t="s">
        <v>104</v>
      </c>
      <c r="E21" s="562">
        <v>1</v>
      </c>
      <c r="F21" s="392" t="s">
        <v>30</v>
      </c>
      <c r="G21" s="347" t="s">
        <v>500</v>
      </c>
      <c r="H21" s="19" t="s">
        <v>62</v>
      </c>
      <c r="I21" s="261" t="s">
        <v>63</v>
      </c>
    </row>
    <row r="22" ht="42.75">
      <c r="A22" s="563"/>
      <c r="B22" s="563"/>
      <c r="C22" s="261">
        <v>4</v>
      </c>
      <c r="D22" s="261" t="s">
        <v>94</v>
      </c>
      <c r="E22" s="573">
        <v>0.80000000000000004</v>
      </c>
      <c r="F22" s="574" t="s">
        <v>27</v>
      </c>
      <c r="G22" s="401" t="s">
        <v>501</v>
      </c>
      <c r="H22" s="19" t="s">
        <v>62</v>
      </c>
      <c r="I22" s="265" t="s">
        <v>66</v>
      </c>
    </row>
    <row r="23" ht="42.75">
      <c r="A23" s="563"/>
      <c r="B23" s="563"/>
      <c r="C23" s="261">
        <v>5</v>
      </c>
      <c r="D23" s="261" t="s">
        <v>65</v>
      </c>
      <c r="E23" s="575" t="s">
        <v>250</v>
      </c>
      <c r="F23" s="360" t="s">
        <v>251</v>
      </c>
      <c r="G23" s="309" t="s">
        <v>502</v>
      </c>
      <c r="H23" s="19" t="s">
        <v>62</v>
      </c>
      <c r="I23" s="229" t="s">
        <v>66</v>
      </c>
    </row>
    <row r="24" ht="42.75">
      <c r="A24" s="563"/>
      <c r="B24" s="563"/>
      <c r="C24" s="261">
        <v>6</v>
      </c>
      <c r="D24" s="261" t="s">
        <v>79</v>
      </c>
      <c r="E24" s="562">
        <v>1</v>
      </c>
      <c r="F24" s="392" t="s">
        <v>30</v>
      </c>
      <c r="G24" s="264" t="s">
        <v>503</v>
      </c>
      <c r="H24" s="19" t="s">
        <v>62</v>
      </c>
      <c r="I24" s="243" t="s">
        <v>63</v>
      </c>
    </row>
    <row r="25" ht="57">
      <c r="A25" s="563"/>
      <c r="B25" s="563"/>
      <c r="C25" s="261">
        <v>7</v>
      </c>
      <c r="D25" s="229" t="s">
        <v>100</v>
      </c>
      <c r="E25" s="576" t="s">
        <v>250</v>
      </c>
      <c r="F25" s="360" t="s">
        <v>251</v>
      </c>
      <c r="G25" s="229" t="s">
        <v>504</v>
      </c>
      <c r="H25" s="19" t="s">
        <v>62</v>
      </c>
      <c r="I25" s="243" t="s">
        <v>63</v>
      </c>
    </row>
    <row r="26" ht="99.75">
      <c r="A26" s="563"/>
      <c r="B26" s="563"/>
      <c r="C26" s="261">
        <v>8</v>
      </c>
      <c r="D26" s="206" t="s">
        <v>90</v>
      </c>
      <c r="E26" s="576" t="s">
        <v>250</v>
      </c>
      <c r="F26" s="360" t="s">
        <v>251</v>
      </c>
      <c r="G26" s="229" t="s">
        <v>505</v>
      </c>
      <c r="H26" s="19" t="s">
        <v>62</v>
      </c>
      <c r="I26" s="243" t="s">
        <v>70</v>
      </c>
    </row>
    <row r="27" ht="57">
      <c r="A27" s="563"/>
      <c r="B27" s="563"/>
      <c r="C27" s="261">
        <v>9</v>
      </c>
      <c r="D27" s="206" t="s">
        <v>98</v>
      </c>
      <c r="E27" s="287">
        <v>1</v>
      </c>
      <c r="F27" s="392" t="s">
        <v>30</v>
      </c>
      <c r="G27" s="229" t="s">
        <v>506</v>
      </c>
      <c r="H27" s="19" t="s">
        <v>62</v>
      </c>
      <c r="I27" s="243" t="s">
        <v>70</v>
      </c>
    </row>
    <row r="28" ht="42.75">
      <c r="A28" s="563"/>
      <c r="B28" s="563"/>
      <c r="C28" s="311">
        <v>10</v>
      </c>
      <c r="D28" s="82" t="s">
        <v>82</v>
      </c>
      <c r="E28" s="287">
        <v>1</v>
      </c>
      <c r="F28" s="392" t="s">
        <v>30</v>
      </c>
      <c r="G28" s="82" t="s">
        <v>507</v>
      </c>
      <c r="H28" s="19" t="s">
        <v>62</v>
      </c>
      <c r="I28" s="243" t="s">
        <v>66</v>
      </c>
    </row>
    <row r="29" ht="57">
      <c r="A29" s="563"/>
      <c r="B29" s="563"/>
      <c r="C29" s="311">
        <v>11</v>
      </c>
      <c r="D29" s="82" t="s">
        <v>69</v>
      </c>
      <c r="E29" s="576" t="s">
        <v>250</v>
      </c>
      <c r="F29" s="360" t="s">
        <v>251</v>
      </c>
      <c r="G29" s="82" t="s">
        <v>442</v>
      </c>
      <c r="H29" s="19" t="s">
        <v>62</v>
      </c>
      <c r="I29" s="243" t="s">
        <v>70</v>
      </c>
    </row>
    <row r="30" ht="42.75">
      <c r="A30" s="563"/>
      <c r="B30" s="563"/>
      <c r="C30" s="311">
        <v>12</v>
      </c>
      <c r="D30" s="82" t="s">
        <v>61</v>
      </c>
      <c r="E30" s="576" t="s">
        <v>250</v>
      </c>
      <c r="F30" s="360" t="s">
        <v>251</v>
      </c>
      <c r="G30" s="82" t="s">
        <v>502</v>
      </c>
      <c r="H30" s="19" t="s">
        <v>62</v>
      </c>
      <c r="I30" s="243" t="s">
        <v>70</v>
      </c>
    </row>
    <row r="31" ht="42.75">
      <c r="A31" s="563"/>
      <c r="B31" s="563"/>
      <c r="C31" s="311">
        <v>13</v>
      </c>
      <c r="D31" s="82" t="s">
        <v>67</v>
      </c>
      <c r="E31" s="576" t="s">
        <v>250</v>
      </c>
      <c r="F31" s="360" t="s">
        <v>251</v>
      </c>
      <c r="G31" s="82" t="s">
        <v>508</v>
      </c>
      <c r="H31" s="19" t="s">
        <v>62</v>
      </c>
      <c r="I31" s="68" t="s">
        <v>66</v>
      </c>
    </row>
    <row r="32" ht="42.75">
      <c r="A32" s="563"/>
      <c r="B32" s="563"/>
      <c r="C32" s="311">
        <v>14</v>
      </c>
      <c r="D32" s="82" t="s">
        <v>85</v>
      </c>
      <c r="E32" s="287">
        <v>1</v>
      </c>
      <c r="F32" s="392" t="s">
        <v>30</v>
      </c>
      <c r="G32" s="82" t="s">
        <v>479</v>
      </c>
      <c r="H32" s="19" t="s">
        <v>62</v>
      </c>
      <c r="I32" s="68" t="s">
        <v>70</v>
      </c>
    </row>
    <row r="33" ht="57">
      <c r="A33" s="563"/>
      <c r="B33" s="563"/>
      <c r="C33" s="311">
        <v>15</v>
      </c>
      <c r="D33" s="82" t="s">
        <v>185</v>
      </c>
      <c r="E33" s="577">
        <v>0</v>
      </c>
      <c r="F33" s="369" t="s">
        <v>58</v>
      </c>
      <c r="G33" s="82" t="s">
        <v>509</v>
      </c>
      <c r="H33" s="19" t="s">
        <v>62</v>
      </c>
      <c r="I33" s="68" t="s">
        <v>63</v>
      </c>
    </row>
    <row r="34" ht="42.75">
      <c r="A34" s="563"/>
      <c r="B34" s="563"/>
      <c r="C34" s="311">
        <v>16</v>
      </c>
      <c r="D34" s="82" t="s">
        <v>72</v>
      </c>
      <c r="E34" s="287">
        <v>1</v>
      </c>
      <c r="F34" s="392" t="s">
        <v>30</v>
      </c>
      <c r="G34" s="82" t="s">
        <v>510</v>
      </c>
      <c r="H34" s="19" t="s">
        <v>62</v>
      </c>
      <c r="I34" s="209" t="s">
        <v>66</v>
      </c>
    </row>
    <row r="35" ht="42.75">
      <c r="A35" s="563"/>
      <c r="B35" s="563"/>
      <c r="C35" s="311">
        <v>17</v>
      </c>
      <c r="D35" s="82" t="s">
        <v>88</v>
      </c>
      <c r="E35" s="577">
        <v>0</v>
      </c>
      <c r="F35" s="369" t="s">
        <v>58</v>
      </c>
      <c r="G35" s="82" t="s">
        <v>511</v>
      </c>
      <c r="H35" s="19" t="s">
        <v>62</v>
      </c>
      <c r="I35" s="209" t="s">
        <v>66</v>
      </c>
    </row>
    <row r="36" ht="57">
      <c r="A36" s="563"/>
      <c r="B36" s="563"/>
      <c r="C36" s="311">
        <v>18</v>
      </c>
      <c r="D36" s="82"/>
      <c r="E36" s="576" t="s">
        <v>250</v>
      </c>
      <c r="F36" s="360" t="s">
        <v>251</v>
      </c>
      <c r="G36" s="82" t="s">
        <v>512</v>
      </c>
      <c r="H36" s="19" t="s">
        <v>62</v>
      </c>
      <c r="I36" s="68" t="s">
        <v>66</v>
      </c>
    </row>
    <row r="37" ht="42.75">
      <c r="A37" s="563"/>
      <c r="B37" s="563"/>
      <c r="C37" s="311">
        <v>19</v>
      </c>
      <c r="D37" s="82" t="s">
        <v>80</v>
      </c>
      <c r="E37" s="287">
        <v>1</v>
      </c>
      <c r="F37" s="392" t="s">
        <v>30</v>
      </c>
      <c r="G37" s="82" t="s">
        <v>513</v>
      </c>
      <c r="H37" s="19" t="s">
        <v>62</v>
      </c>
      <c r="I37" s="68" t="s">
        <v>70</v>
      </c>
    </row>
    <row r="38" ht="57">
      <c r="A38" s="563"/>
      <c r="B38" s="563"/>
      <c r="C38" s="311">
        <v>20</v>
      </c>
      <c r="D38" s="82" t="s">
        <v>91</v>
      </c>
      <c r="E38" s="287">
        <v>1</v>
      </c>
      <c r="F38" s="392" t="s">
        <v>30</v>
      </c>
      <c r="G38" s="82" t="s">
        <v>514</v>
      </c>
      <c r="H38" s="19" t="s">
        <v>62</v>
      </c>
      <c r="I38" s="68" t="s">
        <v>66</v>
      </c>
    </row>
    <row r="39" ht="42.75">
      <c r="A39" s="563"/>
      <c r="B39" s="563"/>
      <c r="C39" s="311">
        <v>21</v>
      </c>
      <c r="D39" s="82" t="s">
        <v>92</v>
      </c>
      <c r="E39" s="287">
        <v>1</v>
      </c>
      <c r="F39" s="392" t="s">
        <v>30</v>
      </c>
      <c r="G39" s="82" t="s">
        <v>515</v>
      </c>
      <c r="H39" s="19" t="s">
        <v>62</v>
      </c>
      <c r="I39" s="209" t="s">
        <v>63</v>
      </c>
    </row>
    <row r="40" ht="85.5">
      <c r="A40" s="563"/>
      <c r="B40" s="563"/>
      <c r="C40" s="311">
        <v>22</v>
      </c>
      <c r="D40" s="82" t="s">
        <v>74</v>
      </c>
      <c r="E40" s="578">
        <v>0</v>
      </c>
      <c r="F40" s="579" t="s">
        <v>161</v>
      </c>
      <c r="G40" s="82" t="s">
        <v>486</v>
      </c>
      <c r="H40" s="68"/>
      <c r="I40" s="68" t="s">
        <v>63</v>
      </c>
    </row>
    <row r="41" ht="42.75">
      <c r="A41" s="563"/>
      <c r="B41" s="563"/>
      <c r="C41" s="311">
        <v>23</v>
      </c>
      <c r="D41" s="82" t="s">
        <v>84</v>
      </c>
      <c r="E41" s="287">
        <v>1</v>
      </c>
      <c r="F41" s="392" t="s">
        <v>30</v>
      </c>
      <c r="G41" s="82" t="s">
        <v>516</v>
      </c>
      <c r="H41" s="19" t="s">
        <v>62</v>
      </c>
      <c r="I41" s="68" t="s">
        <v>70</v>
      </c>
    </row>
    <row r="42" ht="114">
      <c r="A42" s="563"/>
      <c r="B42" s="563"/>
      <c r="C42" s="311">
        <v>24</v>
      </c>
      <c r="D42" s="82" t="s">
        <v>77</v>
      </c>
      <c r="E42" s="576" t="s">
        <v>250</v>
      </c>
      <c r="F42" s="360" t="s">
        <v>251</v>
      </c>
      <c r="G42" s="205" t="s">
        <v>517</v>
      </c>
      <c r="H42" s="19" t="s">
        <v>62</v>
      </c>
      <c r="I42" s="209" t="s">
        <v>70</v>
      </c>
    </row>
    <row r="43" ht="42.75">
      <c r="A43" s="563"/>
      <c r="B43" s="563"/>
      <c r="C43" s="311">
        <v>25</v>
      </c>
      <c r="D43" s="82" t="s">
        <v>76</v>
      </c>
      <c r="E43" s="287">
        <v>1</v>
      </c>
      <c r="F43" s="392" t="s">
        <v>30</v>
      </c>
      <c r="G43" s="82" t="s">
        <v>510</v>
      </c>
      <c r="H43" s="19" t="s">
        <v>62</v>
      </c>
      <c r="I43" s="68" t="s">
        <v>70</v>
      </c>
    </row>
    <row r="44" ht="99.75">
      <c r="A44" s="566"/>
      <c r="B44" s="566"/>
      <c r="C44" s="311">
        <v>26</v>
      </c>
      <c r="D44" s="82" t="s">
        <v>96</v>
      </c>
      <c r="E44" s="379">
        <v>0.75</v>
      </c>
      <c r="F44" s="306" t="s">
        <v>27</v>
      </c>
      <c r="G44" s="82" t="s">
        <v>518</v>
      </c>
      <c r="H44" s="19" t="s">
        <v>62</v>
      </c>
      <c r="I44" s="209" t="s">
        <v>66</v>
      </c>
    </row>
    <row r="45" ht="42.75">
      <c r="A45" s="580"/>
      <c r="B45" s="580"/>
      <c r="C45" s="214"/>
      <c r="D45" s="102"/>
      <c r="E45" s="247">
        <f>(E19+E20+E21+E22+E24+E27+E28+E32+E33+E34+E35+E37+E38+E39+E41+E43+E44)/22</f>
        <v>0.63863636363636367</v>
      </c>
      <c r="F45" s="581"/>
      <c r="G45" s="102"/>
    </row>
    <row r="46" ht="17.25">
      <c r="A46" s="570" t="s">
        <v>193</v>
      </c>
      <c r="B46" s="567"/>
      <c r="C46" s="567"/>
      <c r="D46" s="567"/>
      <c r="E46" s="567"/>
      <c r="F46" s="567"/>
      <c r="G46" s="567"/>
      <c r="H46" s="567"/>
      <c r="I46" s="567"/>
    </row>
    <row r="47" ht="14.25">
      <c r="A47" s="582"/>
      <c r="B47" s="582"/>
      <c r="C47" s="582"/>
      <c r="D47" s="582"/>
      <c r="E47" s="582"/>
      <c r="F47" s="582"/>
      <c r="G47" s="582"/>
      <c r="H47" s="582"/>
      <c r="I47" s="582"/>
    </row>
    <row r="48" ht="45">
      <c r="A48" s="176" t="s">
        <v>394</v>
      </c>
      <c r="B48" s="168" t="s">
        <v>519</v>
      </c>
      <c r="C48" s="169"/>
      <c r="D48" s="170"/>
      <c r="E48" s="583">
        <v>0.64000000000000001</v>
      </c>
      <c r="F48" s="584" t="s">
        <v>27</v>
      </c>
      <c r="G48" s="72" t="s">
        <v>520</v>
      </c>
      <c r="H48" s="73"/>
      <c r="I48" s="74"/>
    </row>
    <row r="49" ht="14.25"/>
  </sheetData>
  <mergeCells count="12">
    <mergeCell ref="A1:I1"/>
    <mergeCell ref="E2:F2"/>
    <mergeCell ref="A3:A11"/>
    <mergeCell ref="B3:B11"/>
    <mergeCell ref="B15:D15"/>
    <mergeCell ref="G15:I15"/>
    <mergeCell ref="A17:I17"/>
    <mergeCell ref="E18:F18"/>
    <mergeCell ref="A19:A44"/>
    <mergeCell ref="B19:B44"/>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B700D4-00A1-45FA-920A-00AB00D70020}">
            <xm:f>NOT(ISERROR(SEARCH("Высокий уровень",D9)))</xm:f>
            <x14:dxf>
              <fill>
                <patternFill patternType="solid">
                  <fgColor rgb="FF70AD47"/>
                  <bgColor rgb="FF70AD47"/>
                </patternFill>
              </fill>
            </x14:dxf>
          </x14:cfRule>
          <xm:sqref>F16</xm:sqref>
        </x14:conditionalFormatting>
        <x14:conditionalFormatting xmlns:xm="http://schemas.microsoft.com/office/excel/2006/main">
          <x14:cfRule type="containsText" priority="5" text="Выше среднего" id="{00DF0075-00C2-4E92-8B3A-00E8002A00C8}">
            <xm:f>NOT(ISERROR(SEARCH("Выше среднего",D9)))</xm:f>
            <x14:dxf>
              <fill>
                <patternFill patternType="solid">
                  <fgColor rgb="FFA9D08D"/>
                  <bgColor rgb="FFA9D08D"/>
                </patternFill>
              </fill>
            </x14:dxf>
          </x14:cfRule>
          <xm:sqref>F16</xm:sqref>
        </x14:conditionalFormatting>
        <x14:conditionalFormatting xmlns:xm="http://schemas.microsoft.com/office/excel/2006/main">
          <x14:cfRule type="containsText" priority="4" text="Средний уровень" id="{00C400C0-000A-4D7F-B66E-00C9003100FD}">
            <xm:f>NOT(ISERROR(SEARCH("Средний уровень",D9)))</xm:f>
            <x14:dxf>
              <font>
                <color theme="1" tint="0"/>
              </font>
              <fill>
                <patternFill patternType="solid">
                  <fgColor indexed="5"/>
                  <bgColor indexed="5"/>
                </patternFill>
              </fill>
            </x14:dxf>
          </x14:cfRule>
          <xm:sqref>F16</xm:sqref>
        </x14:conditionalFormatting>
        <x14:conditionalFormatting xmlns:xm="http://schemas.microsoft.com/office/excel/2006/main">
          <x14:cfRule type="containsText" priority="3" text="Ниже среднего" id="{009A0010-00CA-4D7A-89DC-005100E20034}">
            <xm:f>NOT(ISERROR(SEARCH("Ниже среднего",D9)))</xm:f>
            <x14:dxf>
              <fill>
                <patternFill patternType="solid">
                  <fgColor rgb="FFED7D31"/>
                  <bgColor rgb="FFED7D31"/>
                </patternFill>
              </fill>
            </x14:dxf>
          </x14:cfRule>
          <xm:sqref>F16</xm:sqref>
        </x14:conditionalFormatting>
        <x14:conditionalFormatting xmlns:xm="http://schemas.microsoft.com/office/excel/2006/main">
          <x14:cfRule type="containsText" priority="2" text="Низкий уровень" id="{00240053-0068-415C-84D5-009400BB00A2}">
            <xm:f>NOT(ISERROR(SEARCH("Низкий уровень",D9)))</xm:f>
            <x14:dxf>
              <fill>
                <patternFill patternType="solid">
                  <fgColor indexed="2"/>
                  <bgColor indexed="2"/>
                </patternFill>
              </fill>
            </x14:dxf>
          </x14:cfRule>
          <xm:sqref>F16</xm:sqref>
        </x14:conditionalFormatting>
        <x14:conditionalFormatting xmlns:xm="http://schemas.microsoft.com/office/excel/2006/main">
          <x14:cfRule type="containsText" priority="1" text="Невозможно измерить" id="{00FB0005-0045-46FE-B8C3-00D0003B0093}">
            <xm:f>NOT(ISERROR(SEARCH("Невозможно измерить",D9)))</xm:f>
            <x14:dxf>
              <fill>
                <patternFill patternType="solid">
                  <fgColor rgb="FF7F7F7F"/>
                  <bgColor rgb="FF7F7F7F"/>
                </patternFill>
              </fill>
            </x14:dxf>
          </x14:cfRule>
          <xm:sqref>F16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1" zoomScale="100" workbookViewId="0">
      <selection activeCell="A1" activeCellId="0" sqref="A1"/>
    </sheetView>
  </sheetViews>
  <sheetFormatPr defaultRowHeight="14.25"/>
  <cols>
    <col customWidth="1" min="1" max="1" width="19.57421875"/>
    <col customWidth="1" min="2" max="2" width="19.28125"/>
    <col customWidth="1" min="3" max="3" width="6.8515625"/>
    <col customWidth="1" min="4" max="4" width="26.00390625"/>
    <col customWidth="1" min="5" max="5" width="8.421875"/>
    <col customWidth="1" min="6" max="6" width="17.57421875"/>
    <col customWidth="1" min="7" max="7" width="83.00390625"/>
    <col customWidth="1" min="8" max="8" width="10.00390625"/>
    <col customWidth="1" min="9" max="9" width="29.57421875"/>
    <col customWidth="1" min="10" max="10" width="26.140625"/>
  </cols>
  <sheetData>
    <row r="1" ht="15">
      <c r="A1" s="585" t="s">
        <v>153</v>
      </c>
      <c r="B1" s="586"/>
      <c r="C1" s="586"/>
      <c r="D1" s="586"/>
      <c r="E1" s="586"/>
      <c r="F1" s="586"/>
      <c r="G1" s="586"/>
      <c r="H1" s="586"/>
      <c r="I1" s="586"/>
    </row>
    <row r="2" ht="30">
      <c r="A2" s="525" t="s">
        <v>154</v>
      </c>
      <c r="B2" s="525" t="s">
        <v>127</v>
      </c>
      <c r="C2" s="525" t="s">
        <v>196</v>
      </c>
      <c r="D2" s="526" t="s">
        <v>155</v>
      </c>
      <c r="E2" s="527" t="s">
        <v>8</v>
      </c>
      <c r="F2" s="528"/>
      <c r="G2" s="526" t="s">
        <v>156</v>
      </c>
      <c r="H2" s="529" t="s">
        <v>230</v>
      </c>
      <c r="I2" s="223" t="s">
        <v>158</v>
      </c>
    </row>
    <row r="3" ht="85.5">
      <c r="A3" s="497" t="s">
        <v>47</v>
      </c>
      <c r="B3" s="391" t="s">
        <v>521</v>
      </c>
      <c r="C3" s="19">
        <v>1</v>
      </c>
      <c r="D3" s="261" t="s">
        <v>29</v>
      </c>
      <c r="E3" s="290">
        <v>0</v>
      </c>
      <c r="F3" s="544" t="s">
        <v>161</v>
      </c>
      <c r="G3" s="260" t="s">
        <v>522</v>
      </c>
      <c r="H3" s="292" t="s">
        <v>14</v>
      </c>
      <c r="I3" s="147" t="s">
        <v>15</v>
      </c>
    </row>
    <row r="4" ht="142.5">
      <c r="A4" s="498"/>
      <c r="B4" s="394"/>
      <c r="C4" s="19">
        <v>2</v>
      </c>
      <c r="D4" s="261" t="s">
        <v>26</v>
      </c>
      <c r="E4" s="290">
        <v>0</v>
      </c>
      <c r="F4" s="544" t="s">
        <v>161</v>
      </c>
      <c r="G4" s="260" t="s">
        <v>523</v>
      </c>
      <c r="H4" s="292" t="s">
        <v>14</v>
      </c>
      <c r="I4" s="147" t="s">
        <v>15</v>
      </c>
    </row>
    <row r="5" ht="42.75">
      <c r="A5" s="498"/>
      <c r="B5" s="394"/>
      <c r="C5" s="19">
        <v>3</v>
      </c>
      <c r="D5" s="261" t="s">
        <v>12</v>
      </c>
      <c r="E5" s="290">
        <v>0</v>
      </c>
      <c r="F5" s="544" t="s">
        <v>161</v>
      </c>
      <c r="G5" s="268" t="s">
        <v>524</v>
      </c>
      <c r="H5" s="292" t="s">
        <v>14</v>
      </c>
      <c r="I5" s="147" t="s">
        <v>15</v>
      </c>
    </row>
    <row r="6" ht="48" customHeight="1">
      <c r="A6" s="498"/>
      <c r="B6" s="394"/>
      <c r="C6" s="19">
        <v>4</v>
      </c>
      <c r="D6" s="260" t="s">
        <v>20</v>
      </c>
      <c r="E6" s="290">
        <v>0</v>
      </c>
      <c r="F6" s="544" t="s">
        <v>161</v>
      </c>
      <c r="G6" s="347" t="s">
        <v>525</v>
      </c>
      <c r="H6" s="292" t="s">
        <v>14</v>
      </c>
      <c r="I6" s="147" t="s">
        <v>15</v>
      </c>
      <c r="J6" s="337"/>
    </row>
    <row r="7" ht="75" customHeight="1">
      <c r="A7" s="498"/>
      <c r="B7" s="394"/>
      <c r="C7" s="19">
        <v>5</v>
      </c>
      <c r="D7" s="27" t="s">
        <v>23</v>
      </c>
      <c r="E7" s="290">
        <v>0</v>
      </c>
      <c r="F7" s="544" t="s">
        <v>161</v>
      </c>
      <c r="G7" s="268" t="s">
        <v>526</v>
      </c>
      <c r="H7" s="292" t="s">
        <v>14</v>
      </c>
      <c r="I7" s="147" t="s">
        <v>15</v>
      </c>
      <c r="J7" s="337"/>
    </row>
    <row r="8" ht="203.25" customHeight="1">
      <c r="A8" s="498"/>
      <c r="B8" s="394"/>
      <c r="C8" s="554">
        <v>6</v>
      </c>
      <c r="D8" s="261" t="s">
        <v>22</v>
      </c>
      <c r="E8" s="290">
        <v>0</v>
      </c>
      <c r="F8" s="544" t="s">
        <v>161</v>
      </c>
      <c r="G8" s="587" t="s">
        <v>527</v>
      </c>
      <c r="H8" s="292" t="s">
        <v>14</v>
      </c>
      <c r="I8" s="147" t="s">
        <v>15</v>
      </c>
    </row>
    <row r="9" ht="102" customHeight="1">
      <c r="A9" s="498"/>
      <c r="B9" s="394"/>
      <c r="C9" s="554">
        <v>7</v>
      </c>
      <c r="D9" s="261" t="s">
        <v>19</v>
      </c>
      <c r="E9" s="290">
        <v>0</v>
      </c>
      <c r="F9" s="544" t="s">
        <v>161</v>
      </c>
      <c r="G9" s="261" t="s">
        <v>528</v>
      </c>
      <c r="H9" s="292" t="s">
        <v>14</v>
      </c>
      <c r="I9" s="147" t="s">
        <v>15</v>
      </c>
    </row>
    <row r="10" ht="57">
      <c r="A10" s="498"/>
      <c r="B10" s="394"/>
      <c r="C10" s="554">
        <v>8</v>
      </c>
      <c r="D10" s="261" t="s">
        <v>32</v>
      </c>
      <c r="E10" s="19" t="s">
        <v>250</v>
      </c>
      <c r="F10" s="19" t="s">
        <v>251</v>
      </c>
      <c r="G10" s="260" t="s">
        <v>284</v>
      </c>
      <c r="H10" s="229" t="s">
        <v>168</v>
      </c>
      <c r="I10" s="147" t="s">
        <v>15</v>
      </c>
    </row>
    <row r="11" ht="71.25">
      <c r="A11" s="502"/>
      <c r="B11" s="405"/>
      <c r="C11" s="98">
        <v>9</v>
      </c>
      <c r="D11" s="588" t="s">
        <v>17</v>
      </c>
      <c r="E11" s="290">
        <v>0</v>
      </c>
      <c r="F11" s="544" t="s">
        <v>161</v>
      </c>
      <c r="G11" s="205" t="s">
        <v>529</v>
      </c>
      <c r="H11" s="292" t="s">
        <v>14</v>
      </c>
      <c r="I11" s="147" t="s">
        <v>15</v>
      </c>
    </row>
    <row r="12" ht="15">
      <c r="A12" s="559"/>
      <c r="B12" s="245"/>
      <c r="C12" s="589"/>
      <c r="D12" s="542"/>
      <c r="E12" s="250">
        <f>(E3+E4+E5+E6+E7+E8+E9+E11)/7</f>
        <v>0</v>
      </c>
      <c r="F12" s="590"/>
      <c r="G12" s="542"/>
      <c r="H12" s="102"/>
      <c r="I12" s="248"/>
    </row>
    <row r="13" ht="15">
      <c r="A13" s="591" t="s">
        <v>193</v>
      </c>
      <c r="B13" s="592"/>
      <c r="C13" s="592"/>
      <c r="D13" s="592"/>
      <c r="E13" s="592"/>
      <c r="F13" s="592"/>
      <c r="G13" s="592"/>
      <c r="H13" s="592"/>
      <c r="I13" s="592"/>
      <c r="J13" s="215"/>
    </row>
    <row r="14" ht="74.25" customHeight="1">
      <c r="A14" s="176" t="s">
        <v>394</v>
      </c>
      <c r="B14" s="176" t="s">
        <v>530</v>
      </c>
      <c r="C14" s="176"/>
      <c r="D14" s="176"/>
      <c r="E14" s="593">
        <v>0</v>
      </c>
      <c r="F14" s="361" t="s">
        <v>58</v>
      </c>
      <c r="G14" s="176" t="s">
        <v>531</v>
      </c>
      <c r="H14" s="176"/>
      <c r="I14" s="176"/>
      <c r="J14" s="594"/>
    </row>
    <row r="15" ht="14.25"/>
    <row r="16" ht="15">
      <c r="A16" s="216" t="s">
        <v>327</v>
      </c>
      <c r="B16" s="216"/>
      <c r="C16" s="216"/>
      <c r="D16" s="216"/>
      <c r="E16" s="216"/>
      <c r="F16" s="216"/>
      <c r="G16" s="216"/>
      <c r="H16" s="216"/>
      <c r="I16" s="216"/>
    </row>
    <row r="17" ht="30">
      <c r="A17" s="525" t="s">
        <v>154</v>
      </c>
      <c r="B17" s="525" t="s">
        <v>127</v>
      </c>
      <c r="C17" s="525" t="s">
        <v>196</v>
      </c>
      <c r="D17" s="526" t="s">
        <v>155</v>
      </c>
      <c r="E17" s="527" t="s">
        <v>8</v>
      </c>
      <c r="F17" s="528"/>
      <c r="G17" s="526" t="s">
        <v>156</v>
      </c>
      <c r="H17" s="529" t="s">
        <v>230</v>
      </c>
      <c r="I17" s="223" t="s">
        <v>158</v>
      </c>
    </row>
    <row r="18" ht="71.25">
      <c r="A18" s="510" t="s">
        <v>47</v>
      </c>
      <c r="B18" s="225" t="s">
        <v>521</v>
      </c>
      <c r="C18" s="19">
        <v>1</v>
      </c>
      <c r="D18" s="261" t="s">
        <v>173</v>
      </c>
      <c r="E18" s="290">
        <v>0</v>
      </c>
      <c r="F18" s="544" t="s">
        <v>161</v>
      </c>
      <c r="G18" s="260" t="s">
        <v>532</v>
      </c>
      <c r="H18" s="147" t="s">
        <v>62</v>
      </c>
      <c r="I18" s="147" t="s">
        <v>66</v>
      </c>
    </row>
    <row r="19" ht="85.5">
      <c r="A19" s="512"/>
      <c r="B19" s="231"/>
      <c r="C19" s="19">
        <v>2</v>
      </c>
      <c r="D19" s="261" t="s">
        <v>211</v>
      </c>
      <c r="E19" s="290">
        <v>0</v>
      </c>
      <c r="F19" s="544" t="s">
        <v>161</v>
      </c>
      <c r="G19" s="260" t="s">
        <v>533</v>
      </c>
      <c r="H19" s="147" t="s">
        <v>62</v>
      </c>
      <c r="I19" s="261" t="s">
        <v>66</v>
      </c>
    </row>
    <row r="20" ht="42.75">
      <c r="A20" s="512"/>
      <c r="B20" s="231"/>
      <c r="C20" s="19">
        <v>3</v>
      </c>
      <c r="D20" s="261" t="s">
        <v>104</v>
      </c>
      <c r="E20" s="290">
        <v>0</v>
      </c>
      <c r="F20" s="544" t="s">
        <v>161</v>
      </c>
      <c r="G20" s="260" t="s">
        <v>534</v>
      </c>
      <c r="H20" s="19" t="s">
        <v>62</v>
      </c>
      <c r="I20" s="261" t="s">
        <v>63</v>
      </c>
    </row>
    <row r="21" ht="57">
      <c r="A21" s="512"/>
      <c r="B21" s="231"/>
      <c r="C21" s="19">
        <v>4</v>
      </c>
      <c r="D21" s="261" t="s">
        <v>94</v>
      </c>
      <c r="E21" s="290">
        <v>0</v>
      </c>
      <c r="F21" s="544" t="s">
        <v>161</v>
      </c>
      <c r="G21" s="347" t="s">
        <v>535</v>
      </c>
      <c r="H21" s="19" t="s">
        <v>62</v>
      </c>
      <c r="I21" s="359" t="s">
        <v>66</v>
      </c>
    </row>
    <row r="22" ht="57">
      <c r="A22" s="512"/>
      <c r="B22" s="231"/>
      <c r="C22" s="554">
        <v>5</v>
      </c>
      <c r="D22" s="261" t="s">
        <v>65</v>
      </c>
      <c r="E22" s="290">
        <v>0</v>
      </c>
      <c r="F22" s="544" t="s">
        <v>161</v>
      </c>
      <c r="G22" s="264" t="s">
        <v>536</v>
      </c>
      <c r="H22" s="19" t="s">
        <v>62</v>
      </c>
      <c r="I22" s="229" t="s">
        <v>66</v>
      </c>
    </row>
    <row r="23" ht="57">
      <c r="A23" s="512"/>
      <c r="B23" s="231"/>
      <c r="C23" s="554">
        <v>6</v>
      </c>
      <c r="D23" s="595" t="s">
        <v>79</v>
      </c>
      <c r="E23" s="290">
        <v>0</v>
      </c>
      <c r="F23" s="544" t="s">
        <v>161</v>
      </c>
      <c r="G23" s="260" t="s">
        <v>537</v>
      </c>
      <c r="H23" s="19" t="s">
        <v>62</v>
      </c>
      <c r="I23" s="243" t="s">
        <v>63</v>
      </c>
    </row>
    <row r="24" ht="256.5">
      <c r="A24" s="512"/>
      <c r="B24" s="231"/>
      <c r="C24" s="554">
        <v>7</v>
      </c>
      <c r="D24" s="347" t="s">
        <v>100</v>
      </c>
      <c r="E24" s="287">
        <v>0.82999999999999996</v>
      </c>
      <c r="F24" s="392" t="s">
        <v>30</v>
      </c>
      <c r="G24" s="260" t="s">
        <v>538</v>
      </c>
      <c r="H24" s="19" t="s">
        <v>62</v>
      </c>
      <c r="I24" s="243" t="s">
        <v>63</v>
      </c>
    </row>
    <row r="25" ht="99.75">
      <c r="A25" s="512"/>
      <c r="B25" s="231"/>
      <c r="C25" s="554">
        <v>8</v>
      </c>
      <c r="D25" s="206" t="s">
        <v>90</v>
      </c>
      <c r="E25" s="287">
        <v>1</v>
      </c>
      <c r="F25" s="392" t="s">
        <v>30</v>
      </c>
      <c r="G25" s="260" t="s">
        <v>539</v>
      </c>
      <c r="H25" s="268"/>
      <c r="I25" s="243" t="s">
        <v>70</v>
      </c>
    </row>
    <row r="26" ht="97.5" customHeight="1">
      <c r="A26" s="512"/>
      <c r="B26" s="231"/>
      <c r="C26" s="554">
        <v>9</v>
      </c>
      <c r="D26" s="206" t="s">
        <v>98</v>
      </c>
      <c r="E26" s="290">
        <v>0</v>
      </c>
      <c r="F26" s="544" t="s">
        <v>161</v>
      </c>
      <c r="G26" s="260" t="s">
        <v>540</v>
      </c>
      <c r="H26" s="19" t="s">
        <v>62</v>
      </c>
      <c r="I26" s="243" t="s">
        <v>70</v>
      </c>
    </row>
    <row r="27" ht="42.75">
      <c r="A27" s="512"/>
      <c r="B27" s="231"/>
      <c r="C27" s="554">
        <v>10</v>
      </c>
      <c r="D27" s="206" t="s">
        <v>82</v>
      </c>
      <c r="E27" s="158">
        <v>0</v>
      </c>
      <c r="F27" s="174" t="s">
        <v>58</v>
      </c>
      <c r="G27" s="260" t="s">
        <v>541</v>
      </c>
      <c r="H27" s="19" t="s">
        <v>62</v>
      </c>
      <c r="I27" s="243" t="s">
        <v>66</v>
      </c>
    </row>
    <row r="28" ht="85.5">
      <c r="A28" s="512"/>
      <c r="B28" s="231"/>
      <c r="C28" s="311">
        <v>11</v>
      </c>
      <c r="D28" s="205" t="s">
        <v>69</v>
      </c>
      <c r="E28" s="290">
        <v>0</v>
      </c>
      <c r="F28" s="544" t="s">
        <v>161</v>
      </c>
      <c r="G28" s="205" t="s">
        <v>542</v>
      </c>
      <c r="H28" s="19" t="s">
        <v>62</v>
      </c>
      <c r="I28" s="243" t="s">
        <v>70</v>
      </c>
    </row>
    <row r="29" ht="42.75">
      <c r="A29" s="512"/>
      <c r="B29" s="231"/>
      <c r="C29" s="311">
        <v>12</v>
      </c>
      <c r="D29" s="205" t="s">
        <v>61</v>
      </c>
      <c r="E29" s="290">
        <v>0</v>
      </c>
      <c r="F29" s="544" t="s">
        <v>161</v>
      </c>
      <c r="G29" s="82" t="s">
        <v>543</v>
      </c>
      <c r="H29" s="19" t="s">
        <v>62</v>
      </c>
      <c r="I29" s="243" t="s">
        <v>70</v>
      </c>
    </row>
    <row r="30" ht="42.75">
      <c r="A30" s="512"/>
      <c r="B30" s="231"/>
      <c r="C30" s="311">
        <v>13</v>
      </c>
      <c r="D30" s="205" t="s">
        <v>67</v>
      </c>
      <c r="E30" s="287">
        <v>1</v>
      </c>
      <c r="F30" s="392" t="s">
        <v>30</v>
      </c>
      <c r="G30" s="82" t="s">
        <v>544</v>
      </c>
      <c r="H30" s="19" t="s">
        <v>62</v>
      </c>
      <c r="I30" s="209" t="s">
        <v>66</v>
      </c>
    </row>
    <row r="31" ht="42.75">
      <c r="A31" s="512"/>
      <c r="B31" s="231"/>
      <c r="C31" s="311">
        <v>14</v>
      </c>
      <c r="D31" s="82" t="s">
        <v>85</v>
      </c>
      <c r="E31" s="290">
        <v>0</v>
      </c>
      <c r="F31" s="544" t="s">
        <v>161</v>
      </c>
      <c r="G31" s="82" t="s">
        <v>545</v>
      </c>
      <c r="H31" s="19" t="s">
        <v>62</v>
      </c>
      <c r="I31" s="243" t="s">
        <v>70</v>
      </c>
    </row>
    <row r="32" ht="57">
      <c r="A32" s="512"/>
      <c r="B32" s="231"/>
      <c r="C32" s="101">
        <v>15</v>
      </c>
      <c r="D32" s="82" t="s">
        <v>185</v>
      </c>
      <c r="E32" s="290">
        <v>0</v>
      </c>
      <c r="F32" s="544" t="s">
        <v>161</v>
      </c>
      <c r="G32" s="205" t="s">
        <v>546</v>
      </c>
      <c r="H32" s="19" t="s">
        <v>62</v>
      </c>
      <c r="I32" s="209" t="s">
        <v>63</v>
      </c>
    </row>
    <row r="33" ht="42.75">
      <c r="A33" s="512"/>
      <c r="B33" s="231"/>
      <c r="C33" s="101">
        <v>16</v>
      </c>
      <c r="D33" s="82" t="s">
        <v>72</v>
      </c>
      <c r="E33" s="287">
        <v>1</v>
      </c>
      <c r="F33" s="392" t="s">
        <v>30</v>
      </c>
      <c r="G33" s="68" t="s">
        <v>341</v>
      </c>
      <c r="H33" s="19" t="s">
        <v>62</v>
      </c>
      <c r="I33" s="209" t="s">
        <v>66</v>
      </c>
    </row>
    <row r="34" ht="71.25">
      <c r="A34" s="512"/>
      <c r="B34" s="231"/>
      <c r="C34" s="101">
        <v>17</v>
      </c>
      <c r="D34" s="82" t="s">
        <v>88</v>
      </c>
      <c r="E34" s="290">
        <v>0</v>
      </c>
      <c r="F34" s="544" t="s">
        <v>161</v>
      </c>
      <c r="G34" s="82" t="s">
        <v>547</v>
      </c>
      <c r="H34" s="19" t="s">
        <v>62</v>
      </c>
      <c r="I34" s="209" t="s">
        <v>66</v>
      </c>
    </row>
    <row r="35" ht="71.25">
      <c r="A35" s="512"/>
      <c r="B35" s="231"/>
      <c r="C35" s="101">
        <v>18</v>
      </c>
      <c r="D35" s="82" t="s">
        <v>93</v>
      </c>
      <c r="E35" s="515">
        <v>0.34999999999999998</v>
      </c>
      <c r="F35" s="596" t="s">
        <v>13</v>
      </c>
      <c r="G35" s="82" t="s">
        <v>548</v>
      </c>
      <c r="H35" s="19" t="s">
        <v>62</v>
      </c>
      <c r="I35" s="209" t="s">
        <v>66</v>
      </c>
    </row>
    <row r="36" ht="57">
      <c r="A36" s="512"/>
      <c r="B36" s="231"/>
      <c r="C36" s="68">
        <v>19</v>
      </c>
      <c r="D36" s="82" t="s">
        <v>80</v>
      </c>
      <c r="E36" s="290">
        <v>0</v>
      </c>
      <c r="F36" s="544" t="s">
        <v>161</v>
      </c>
      <c r="G36" s="209" t="s">
        <v>549</v>
      </c>
      <c r="H36" s="19" t="s">
        <v>62</v>
      </c>
      <c r="I36" s="68" t="s">
        <v>70</v>
      </c>
    </row>
    <row r="37" ht="71.25">
      <c r="A37" s="512"/>
      <c r="B37" s="231"/>
      <c r="C37" s="68">
        <v>20</v>
      </c>
      <c r="D37" s="82" t="s">
        <v>91</v>
      </c>
      <c r="E37" s="290">
        <v>0</v>
      </c>
      <c r="F37" s="544" t="s">
        <v>161</v>
      </c>
      <c r="G37" s="82" t="s">
        <v>550</v>
      </c>
      <c r="H37" s="19" t="s">
        <v>62</v>
      </c>
      <c r="I37" s="209" t="s">
        <v>66</v>
      </c>
    </row>
    <row r="38" ht="30">
      <c r="A38" s="512"/>
      <c r="B38" s="231"/>
      <c r="C38" s="68">
        <v>21</v>
      </c>
      <c r="D38" s="82" t="s">
        <v>92</v>
      </c>
      <c r="E38" s="290">
        <v>0</v>
      </c>
      <c r="F38" s="544" t="s">
        <v>161</v>
      </c>
      <c r="G38" s="68" t="s">
        <v>551</v>
      </c>
      <c r="H38" s="19" t="s">
        <v>62</v>
      </c>
      <c r="I38" s="209" t="s">
        <v>63</v>
      </c>
    </row>
    <row r="39" ht="57">
      <c r="A39" s="512"/>
      <c r="B39" s="231"/>
      <c r="C39" s="68">
        <v>22</v>
      </c>
      <c r="D39" s="82" t="s">
        <v>74</v>
      </c>
      <c r="E39" s="290">
        <v>0</v>
      </c>
      <c r="F39" s="544" t="s">
        <v>161</v>
      </c>
      <c r="G39" s="82" t="s">
        <v>552</v>
      </c>
      <c r="H39" s="19" t="s">
        <v>62</v>
      </c>
      <c r="I39" s="68" t="s">
        <v>63</v>
      </c>
    </row>
    <row r="40" ht="57">
      <c r="A40" s="512"/>
      <c r="B40" s="231"/>
      <c r="C40" s="68">
        <v>23</v>
      </c>
      <c r="D40" s="82" t="s">
        <v>84</v>
      </c>
      <c r="E40" s="372">
        <v>0</v>
      </c>
      <c r="F40" s="372" t="s">
        <v>58</v>
      </c>
      <c r="G40" s="205" t="s">
        <v>553</v>
      </c>
      <c r="H40" s="19" t="s">
        <v>62</v>
      </c>
      <c r="I40" s="68" t="s">
        <v>70</v>
      </c>
    </row>
    <row r="41" ht="142.5">
      <c r="A41" s="512"/>
      <c r="B41" s="231"/>
      <c r="C41" s="68">
        <v>24</v>
      </c>
      <c r="D41" s="82" t="s">
        <v>77</v>
      </c>
      <c r="E41" s="100">
        <v>0</v>
      </c>
      <c r="F41" s="100" t="s">
        <v>58</v>
      </c>
      <c r="G41" s="205" t="s">
        <v>554</v>
      </c>
      <c r="H41" s="19" t="s">
        <v>62</v>
      </c>
      <c r="I41" s="209" t="s">
        <v>70</v>
      </c>
    </row>
    <row r="42" ht="30">
      <c r="A42" s="512"/>
      <c r="B42" s="231"/>
      <c r="C42" s="68">
        <v>25</v>
      </c>
      <c r="D42" s="82" t="s">
        <v>76</v>
      </c>
      <c r="E42" s="290">
        <v>0</v>
      </c>
      <c r="F42" s="544" t="s">
        <v>161</v>
      </c>
      <c r="G42" s="205" t="s">
        <v>349</v>
      </c>
      <c r="H42" s="19" t="s">
        <v>62</v>
      </c>
      <c r="I42" s="209" t="s">
        <v>70</v>
      </c>
    </row>
    <row r="43" ht="30">
      <c r="A43" s="523"/>
      <c r="B43" s="244"/>
      <c r="C43" s="68">
        <v>26</v>
      </c>
      <c r="D43" s="243" t="s">
        <v>96</v>
      </c>
      <c r="E43" s="290">
        <v>0</v>
      </c>
      <c r="F43" s="544" t="s">
        <v>161</v>
      </c>
      <c r="G43" s="82" t="s">
        <v>555</v>
      </c>
      <c r="H43" s="19" t="s">
        <v>62</v>
      </c>
      <c r="I43" s="209" t="s">
        <v>66</v>
      </c>
    </row>
    <row r="44" ht="14.25">
      <c r="E44" s="323">
        <f>(E18+E19+E20+E21+E22+E23+E24+E25+E26+E27+E28+E29+E30+E31+E32+E33+E34+E35+E36+E37+E38+E39+E40+E41+E42+E43)/26</f>
        <v>0.16076923076923075</v>
      </c>
    </row>
    <row r="45" ht="15">
      <c r="A45" s="597" t="s">
        <v>193</v>
      </c>
      <c r="B45" s="598"/>
      <c r="C45" s="598"/>
      <c r="D45" s="598"/>
      <c r="E45" s="598"/>
      <c r="F45" s="598"/>
      <c r="G45" s="598"/>
      <c r="H45" s="598"/>
      <c r="I45" s="598"/>
    </row>
    <row r="46" ht="96" customHeight="1">
      <c r="A46" s="176" t="s">
        <v>394</v>
      </c>
      <c r="B46" s="168" t="s">
        <v>530</v>
      </c>
      <c r="C46" s="169"/>
      <c r="D46" s="170"/>
      <c r="E46" s="599" t="s">
        <v>556</v>
      </c>
      <c r="F46" s="361" t="s">
        <v>58</v>
      </c>
      <c r="G46" s="168" t="s">
        <v>557</v>
      </c>
      <c r="H46" s="169"/>
      <c r="I46" s="170"/>
    </row>
    <row r="47" ht="14.25"/>
  </sheetData>
  <mergeCells count="11">
    <mergeCell ref="E2:F2"/>
    <mergeCell ref="A3:A11"/>
    <mergeCell ref="B3:B11"/>
    <mergeCell ref="B14:D14"/>
    <mergeCell ref="G14:I14"/>
    <mergeCell ref="A16:I16"/>
    <mergeCell ref="E17:F17"/>
    <mergeCell ref="A18:A43"/>
    <mergeCell ref="B18:B43"/>
    <mergeCell ref="B46:D46"/>
    <mergeCell ref="G46:I46"/>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0D00BA-0059-4ED8-B44C-009900CE0076}">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780050-0013-47D6-9D0A-0003000B003B}">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E0004E-0067-4E4D-BDE6-001400E400CE}">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D9009C-000A-4463-9041-0005001E00A2}">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CA00BE-0089-468E-A9ED-00CF003500D8}">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A200E3-00CF-42D4-91F0-007F00C10095}">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0000E1-001A-4F5E-9730-00CC00F700B4}">
            <xm:f>NOT(ISERROR(SEARCH("Высокий уровень",D9)))</xm:f>
            <x14:dxf>
              <fill>
                <patternFill patternType="solid">
                  <fgColor rgb="FF70AD47"/>
                  <bgColor rgb="FF70AD47"/>
                </patternFill>
              </fill>
            </x14:dxf>
          </x14:cfRule>
          <xm:sqref>F45</xm:sqref>
        </x14:conditionalFormatting>
        <x14:conditionalFormatting xmlns:xm="http://schemas.microsoft.com/office/excel/2006/main">
          <x14:cfRule type="containsText" priority="6" text="Высокий уровень" id="{00C90074-003D-42F1-A3C3-00A100E60038}">
            <xm:f>NOT(ISERROR(SEARCH("Высокий уровень",D9)))</xm:f>
            <x14:dxf>
              <fill>
                <patternFill patternType="solid">
                  <fgColor rgb="FF70AD47"/>
                  <bgColor rgb="FF70AD47"/>
                </patternFill>
              </fill>
            </x14:dxf>
          </x14:cfRule>
          <xm:sqref>F45</xm:sqref>
        </x14:conditionalFormatting>
        <x14:conditionalFormatting xmlns:xm="http://schemas.microsoft.com/office/excel/2006/main">
          <x14:cfRule type="containsText" priority="6" text="Высокий уровень" id="{006200CA-0038-4CCD-84AF-007A00440072}">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CD006F-00B0-4B19-8348-00CD004A00F9}">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5" text="Выше среднего" id="{008D0006-00AF-4055-8F97-00CE003B00A7}">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560050-009D-4AE4-87DC-002800A70096}">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FD0011-0021-4703-9C37-005600CB00E1}">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360052-003A-4F8F-8C3B-00CA00DE006B}">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660058-0042-42D0-A96B-003C00200075}">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FF0023-003D-481E-A616-00ED008100E9}">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050009-00BE-469A-B9E6-00AD00790008}">
            <xm:f>NOT(ISERROR(SEARCH("Выше среднего",D9)))</xm:f>
            <x14:dxf>
              <fill>
                <patternFill patternType="solid">
                  <fgColor rgb="FFA9D08D"/>
                  <bgColor rgb="FFA9D08D"/>
                </patternFill>
              </fill>
            </x14:dxf>
          </x14:cfRule>
          <xm:sqref>F45</xm:sqref>
        </x14:conditionalFormatting>
        <x14:conditionalFormatting xmlns:xm="http://schemas.microsoft.com/office/excel/2006/main">
          <x14:cfRule type="containsText" priority="5" text="Выше среднего" id="{00830062-00DC-4F0D-B051-008A00D3009D}">
            <xm:f>NOT(ISERROR(SEARCH("Выше среднего",D9)))</xm:f>
            <x14:dxf>
              <fill>
                <patternFill patternType="solid">
                  <fgColor rgb="FFA9D08D"/>
                  <bgColor rgb="FFA9D08D"/>
                </patternFill>
              </fill>
            </x14:dxf>
          </x14:cfRule>
          <xm:sqref>F45</xm:sqref>
        </x14:conditionalFormatting>
        <x14:conditionalFormatting xmlns:xm="http://schemas.microsoft.com/office/excel/2006/main">
          <x14:cfRule type="containsText" priority="5" text="Выше среднего" id="{00C90032-00A6-4AE0-BAFF-004E009E00FC}">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650044-00B9-445D-8AE2-0096001F0027}">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4" text="Средний уровень" id="{004D00D3-007A-43B0-BE1D-007100F20033}">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3500DE-00DC-4039-9681-0079005D004E}">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FA0024-0034-4DD3-A337-0002002C007A}">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A70016-0084-4F74-8AB5-004000BB0054}">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500074-0048-4D02-B6E5-007500880076}">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440013-008A-4ACA-97A2-00AC00EE00A5}">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9E0084-00C4-454A-89D7-009F001500B7}">
            <xm:f>NOT(ISERROR(SEARCH("Средний уровень",D9)))</xm:f>
            <x14:dxf>
              <font>
                <color theme="1" tint="0"/>
              </font>
              <fill>
                <patternFill patternType="solid">
                  <fgColor indexed="5"/>
                  <bgColor indexed="5"/>
                </patternFill>
              </fill>
            </x14:dxf>
          </x14:cfRule>
          <xm:sqref>F45</xm:sqref>
        </x14:conditionalFormatting>
        <x14:conditionalFormatting xmlns:xm="http://schemas.microsoft.com/office/excel/2006/main">
          <x14:cfRule type="containsText" priority="4" text="Средний уровень" id="{00BF009B-0065-4E49-930E-004F00C4007F}">
            <xm:f>NOT(ISERROR(SEARCH("Средний уровень",D9)))</xm:f>
            <x14:dxf>
              <font>
                <color theme="1" tint="0"/>
              </font>
              <fill>
                <patternFill patternType="solid">
                  <fgColor indexed="5"/>
                  <bgColor indexed="5"/>
                </patternFill>
              </fill>
            </x14:dxf>
          </x14:cfRule>
          <xm:sqref>F45</xm:sqref>
        </x14:conditionalFormatting>
        <x14:conditionalFormatting xmlns:xm="http://schemas.microsoft.com/office/excel/2006/main">
          <x14:cfRule type="containsText" priority="4" text="Средний уровень" id="{00FD0040-005B-4458-A18F-00E6001000ED}">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2E0057-00EE-4477-BDEC-00DB00EC0049}">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3" text="Ниже среднего" id="{003A00EC-003C-43BB-94B4-00B800F70004}">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8E0009-00C8-44A0-8B0B-002D003B0001}">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94002D-00BE-424B-A92C-007E00F000D8}">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FB0050-00FE-43F7-B670-00A7000800AB}">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4500EA-0035-4044-AC34-0049000800F5}">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B9009E-0099-4CE0-B22E-008F00180070}">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860068-0017-4CDB-809D-00E9001C0089}">
            <xm:f>NOT(ISERROR(SEARCH("Ниже среднего",D9)))</xm:f>
            <x14:dxf>
              <fill>
                <patternFill patternType="solid">
                  <fgColor rgb="FFED7D31"/>
                  <bgColor rgb="FFED7D31"/>
                </patternFill>
              </fill>
            </x14:dxf>
          </x14:cfRule>
          <xm:sqref>F45</xm:sqref>
        </x14:conditionalFormatting>
        <x14:conditionalFormatting xmlns:xm="http://schemas.microsoft.com/office/excel/2006/main">
          <x14:cfRule type="containsText" priority="3" text="Ниже среднего" id="{00030011-00F8-470D-813E-00A8000F001F}">
            <xm:f>NOT(ISERROR(SEARCH("Ниже среднего",D9)))</xm:f>
            <x14:dxf>
              <fill>
                <patternFill patternType="solid">
                  <fgColor rgb="FFED7D31"/>
                  <bgColor rgb="FFED7D31"/>
                </patternFill>
              </fill>
            </x14:dxf>
          </x14:cfRule>
          <xm:sqref>F45</xm:sqref>
        </x14:conditionalFormatting>
        <x14:conditionalFormatting xmlns:xm="http://schemas.microsoft.com/office/excel/2006/main">
          <x14:cfRule type="containsText" priority="3" text="Ниже среднего" id="{00FF008A-009E-4E8F-B300-00B3005A0000}">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3B004F-00AE-4EB2-824B-0010001900B6}">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2" text="Низкий уровень" id="{006F002C-0077-4F50-A837-000F003900CB}">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CC0097-0097-48CC-92C8-008600D40086}">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9E0081-009A-4BE8-B69D-0010004A00F2}">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0A00A2-0084-4E3F-AA57-0035009100B4}">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AF007D-00DC-4629-837B-00B000B100BD}">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8C0048-00DA-4E9A-BB9D-0043000300B0}">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A700AC-008F-4EF3-AC75-000E00590025}">
            <xm:f>NOT(ISERROR(SEARCH("Низкий уровень",D9)))</xm:f>
            <x14:dxf>
              <fill>
                <patternFill patternType="solid">
                  <fgColor indexed="2"/>
                  <bgColor indexed="2"/>
                </patternFill>
              </fill>
            </x14:dxf>
          </x14:cfRule>
          <xm:sqref>F45</xm:sqref>
        </x14:conditionalFormatting>
        <x14:conditionalFormatting xmlns:xm="http://schemas.microsoft.com/office/excel/2006/main">
          <x14:cfRule type="containsText" priority="2" text="Низкий уровень" id="{0023006A-00B0-4F65-902A-000E00E10020}">
            <xm:f>NOT(ISERROR(SEARCH("Низкий уровень",D9)))</xm:f>
            <x14:dxf>
              <fill>
                <patternFill patternType="solid">
                  <fgColor indexed="2"/>
                  <bgColor indexed="2"/>
                </patternFill>
              </fill>
            </x14:dxf>
          </x14:cfRule>
          <xm:sqref>F45</xm:sqref>
        </x14:conditionalFormatting>
        <x14:conditionalFormatting xmlns:xm="http://schemas.microsoft.com/office/excel/2006/main">
          <x14:cfRule type="containsText" priority="2" text="Низкий уровень" id="{00A7003A-00AD-43F7-9E07-0030001A0061}">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7D00D7-006C-4B58-9C5E-0024007D00B0}">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1" text="Невозможно измерить" id="{00940060-0036-4274-8E65-008A00E500C5}">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8000A0-005E-4A1E-83D7-00F4006E0017}">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2E0017-0044-4D7E-821F-000A00D00078}">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6D0097-0051-48A7-9AA0-0079003B00C2}">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6F003F-0086-4658-8D02-002600210036}">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0A0093-008C-4A91-9639-00EC003300F5}">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A40009-0090-48E2-A3BF-0079009E005D}">
            <xm:f>NOT(ISERROR(SEARCH("Невозможно измерить",D9)))</xm:f>
            <x14:dxf>
              <fill>
                <patternFill patternType="solid">
                  <fgColor rgb="FF7F7F7F"/>
                  <bgColor rgb="FF7F7F7F"/>
                </patternFill>
              </fill>
            </x14:dxf>
          </x14:cfRule>
          <xm:sqref>F45</xm:sqref>
        </x14:conditionalFormatting>
        <x14:conditionalFormatting xmlns:xm="http://schemas.microsoft.com/office/excel/2006/main">
          <x14:cfRule type="containsText" priority="1" text="Невозможно измерить" id="{000A00E0-0055-4AD4-9B70-00BE008300CB}">
            <xm:f>NOT(ISERROR(SEARCH("Невозможно измерить",D9)))</xm:f>
            <x14:dxf>
              <fill>
                <patternFill patternType="solid">
                  <fgColor rgb="FF7F7F7F"/>
                  <bgColor rgb="FF7F7F7F"/>
                </patternFill>
              </fill>
            </x14:dxf>
          </x14:cfRule>
          <xm:sqref>F45</xm:sqref>
        </x14:conditionalFormatting>
        <x14:conditionalFormatting xmlns:xm="http://schemas.microsoft.com/office/excel/2006/main">
          <x14:cfRule type="containsText" priority="1" text="Невозможно измерить" id="{0081003E-00F5-498C-A9BA-00B500060077}">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1400C4-0028-41B7-BC0D-0095002B0028}">
            <xm:f>NOT(ISERROR(SEARCH("Невозможно измерить",D9)))</xm:f>
            <x14:dxf>
              <fill>
                <patternFill patternType="solid">
                  <fgColor rgb="FF7F7F7F"/>
                  <bgColor rgb="FF7F7F7F"/>
                </patternFill>
              </fill>
            </x14:dxf>
          </x14:cfRule>
          <xm:sqref>F46</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2" zoomScale="100" workbookViewId="0">
      <selection activeCell="A1" activeCellId="0" sqref="A1"/>
    </sheetView>
  </sheetViews>
  <sheetFormatPr defaultRowHeight="14.25"/>
  <cols>
    <col customWidth="1" min="1" max="1" width="18.7109375"/>
    <col customWidth="1" min="2" max="2" width="16.7109375"/>
    <col customWidth="1" min="3" max="3" width="5.28125"/>
    <col customWidth="1" min="4" max="4" width="36.28125"/>
    <col customWidth="1" min="6" max="6" width="15.57421875"/>
    <col customWidth="1" min="7" max="7" width="67.140625"/>
    <col customWidth="1" min="9" max="9" width="23.421875"/>
  </cols>
  <sheetData>
    <row r="1" ht="15">
      <c r="A1" s="585" t="s">
        <v>153</v>
      </c>
      <c r="B1" s="586"/>
      <c r="C1" s="586"/>
      <c r="D1" s="586"/>
      <c r="E1" s="586"/>
      <c r="F1" s="586"/>
      <c r="G1" s="586"/>
      <c r="H1" s="586"/>
      <c r="I1" s="586"/>
    </row>
    <row r="2" ht="30">
      <c r="A2" s="525" t="s">
        <v>154</v>
      </c>
      <c r="B2" s="525" t="s">
        <v>127</v>
      </c>
      <c r="C2" s="525" t="s">
        <v>196</v>
      </c>
      <c r="D2" s="526" t="s">
        <v>155</v>
      </c>
      <c r="E2" s="527" t="s">
        <v>8</v>
      </c>
      <c r="F2" s="528"/>
      <c r="G2" s="560" t="s">
        <v>156</v>
      </c>
      <c r="H2" s="389" t="s">
        <v>230</v>
      </c>
      <c r="I2" s="388" t="s">
        <v>158</v>
      </c>
    </row>
    <row r="3" ht="88.5" customHeight="1">
      <c r="A3" s="510" t="s">
        <v>47</v>
      </c>
      <c r="B3" s="391" t="s">
        <v>558</v>
      </c>
      <c r="C3" s="19">
        <v>1</v>
      </c>
      <c r="D3" s="261" t="s">
        <v>29</v>
      </c>
      <c r="E3" s="287">
        <v>1</v>
      </c>
      <c r="F3" s="392" t="s">
        <v>30</v>
      </c>
      <c r="G3" s="264" t="s">
        <v>559</v>
      </c>
      <c r="H3" s="292" t="s">
        <v>14</v>
      </c>
      <c r="I3" s="147" t="s">
        <v>15</v>
      </c>
    </row>
    <row r="4" ht="156.75">
      <c r="A4" s="512"/>
      <c r="B4" s="394"/>
      <c r="C4" s="19">
        <v>2</v>
      </c>
      <c r="D4" s="261" t="s">
        <v>26</v>
      </c>
      <c r="E4" s="287">
        <v>1</v>
      </c>
      <c r="F4" s="392" t="s">
        <v>30</v>
      </c>
      <c r="G4" s="600" t="s">
        <v>560</v>
      </c>
      <c r="H4" s="292" t="s">
        <v>14</v>
      </c>
      <c r="I4" s="147" t="s">
        <v>15</v>
      </c>
    </row>
    <row r="5" ht="112.5" customHeight="1">
      <c r="A5" s="512"/>
      <c r="B5" s="394"/>
      <c r="C5" s="19">
        <v>3</v>
      </c>
      <c r="D5" s="261" t="s">
        <v>12</v>
      </c>
      <c r="E5" s="515">
        <v>0.33000000000000002</v>
      </c>
      <c r="F5" s="601" t="s">
        <v>13</v>
      </c>
      <c r="G5" s="396" t="s">
        <v>561</v>
      </c>
      <c r="H5" s="292" t="s">
        <v>14</v>
      </c>
      <c r="I5" s="147" t="s">
        <v>15</v>
      </c>
    </row>
    <row r="6" ht="30">
      <c r="A6" s="512"/>
      <c r="B6" s="394"/>
      <c r="C6" s="19">
        <v>4</v>
      </c>
      <c r="D6" s="260" t="s">
        <v>20</v>
      </c>
      <c r="E6" s="392">
        <v>0.93000000000000005</v>
      </c>
      <c r="F6" s="392" t="s">
        <v>30</v>
      </c>
      <c r="G6" s="600" t="s">
        <v>562</v>
      </c>
      <c r="H6" s="292" t="s">
        <v>14</v>
      </c>
      <c r="I6" s="147" t="s">
        <v>15</v>
      </c>
    </row>
    <row r="7" ht="134.25" customHeight="1">
      <c r="A7" s="512"/>
      <c r="B7" s="394"/>
      <c r="C7" s="19">
        <v>5</v>
      </c>
      <c r="D7" s="27" t="s">
        <v>23</v>
      </c>
      <c r="E7" s="287">
        <v>1</v>
      </c>
      <c r="F7" s="392" t="s">
        <v>30</v>
      </c>
      <c r="G7" s="176" t="s">
        <v>563</v>
      </c>
      <c r="H7" s="292" t="s">
        <v>14</v>
      </c>
      <c r="I7" s="147" t="s">
        <v>15</v>
      </c>
    </row>
    <row r="8" ht="165">
      <c r="A8" s="512"/>
      <c r="B8" s="394"/>
      <c r="C8" s="19">
        <v>6</v>
      </c>
      <c r="D8" s="261" t="s">
        <v>22</v>
      </c>
      <c r="E8" s="163">
        <v>0.28000000000000003</v>
      </c>
      <c r="F8" s="163" t="s">
        <v>13</v>
      </c>
      <c r="G8" s="460" t="s">
        <v>564</v>
      </c>
      <c r="H8" s="347" t="s">
        <v>14</v>
      </c>
      <c r="I8" s="147" t="s">
        <v>15</v>
      </c>
    </row>
    <row r="9" ht="330" customHeight="1">
      <c r="A9" s="512"/>
      <c r="B9" s="394"/>
      <c r="C9" s="19">
        <v>7</v>
      </c>
      <c r="D9" s="347" t="s">
        <v>19</v>
      </c>
      <c r="E9" s="172">
        <v>0.88</v>
      </c>
      <c r="F9" s="172" t="s">
        <v>30</v>
      </c>
      <c r="G9" s="176" t="s">
        <v>565</v>
      </c>
      <c r="H9" s="347" t="s">
        <v>14</v>
      </c>
      <c r="I9" s="147" t="s">
        <v>15</v>
      </c>
    </row>
    <row r="10" s="46" customFormat="1" ht="96.75" customHeight="1">
      <c r="A10" s="512"/>
      <c r="B10" s="394"/>
      <c r="C10" s="19">
        <v>8</v>
      </c>
      <c r="D10" s="347" t="s">
        <v>32</v>
      </c>
      <c r="E10" s="172">
        <v>1</v>
      </c>
      <c r="F10" s="172" t="s">
        <v>30</v>
      </c>
      <c r="G10" s="147" t="s">
        <v>566</v>
      </c>
      <c r="H10" s="347" t="s">
        <v>168</v>
      </c>
      <c r="I10" s="147" t="s">
        <v>15</v>
      </c>
    </row>
    <row r="11" ht="156.75">
      <c r="A11" s="523"/>
      <c r="B11" s="405"/>
      <c r="C11" s="602">
        <v>9</v>
      </c>
      <c r="D11" s="603" t="s">
        <v>17</v>
      </c>
      <c r="E11" s="172">
        <v>1</v>
      </c>
      <c r="F11" s="172" t="s">
        <v>30</v>
      </c>
      <c r="G11" s="603" t="s">
        <v>567</v>
      </c>
      <c r="H11" s="347" t="s">
        <v>14</v>
      </c>
      <c r="I11" s="147" t="s">
        <v>15</v>
      </c>
    </row>
    <row r="12">
      <c r="E12" s="323">
        <f>(E3+E4+E5+E6+E7+E8+E9+E10+E11)/9</f>
        <v>0.82444444444444442</v>
      </c>
    </row>
    <row r="13" ht="17.25">
      <c r="A13" s="604" t="s">
        <v>193</v>
      </c>
      <c r="B13" s="605"/>
      <c r="C13" s="605"/>
      <c r="D13" s="605"/>
      <c r="E13" s="605"/>
      <c r="F13" s="605"/>
      <c r="G13" s="605"/>
      <c r="H13" s="605"/>
      <c r="I13" s="605"/>
    </row>
    <row r="14" ht="81.75" customHeight="1">
      <c r="A14" s="176" t="s">
        <v>394</v>
      </c>
      <c r="B14" s="168" t="s">
        <v>568</v>
      </c>
      <c r="C14" s="169"/>
      <c r="D14" s="170"/>
      <c r="E14" s="606">
        <v>0.81999999999999995</v>
      </c>
      <c r="F14" s="607" t="s">
        <v>30</v>
      </c>
      <c r="G14" s="168" t="s">
        <v>569</v>
      </c>
      <c r="H14" s="169"/>
      <c r="I14" s="170"/>
    </row>
    <row r="15"/>
    <row r="16" ht="15">
      <c r="A16" s="608" t="s">
        <v>570</v>
      </c>
      <c r="B16" s="608"/>
      <c r="C16" s="608"/>
      <c r="D16" s="608"/>
      <c r="E16" s="608"/>
      <c r="F16" s="608"/>
      <c r="G16" s="608"/>
      <c r="H16" s="608"/>
      <c r="I16" s="608"/>
    </row>
    <row r="17" ht="30">
      <c r="A17" s="525" t="s">
        <v>154</v>
      </c>
      <c r="B17" s="525" t="s">
        <v>127</v>
      </c>
      <c r="C17" s="525" t="s">
        <v>196</v>
      </c>
      <c r="D17" s="526" t="s">
        <v>155</v>
      </c>
      <c r="E17" s="527" t="s">
        <v>8</v>
      </c>
      <c r="F17" s="528"/>
      <c r="G17" s="560" t="s">
        <v>156</v>
      </c>
      <c r="H17" s="389" t="s">
        <v>230</v>
      </c>
      <c r="I17" s="388" t="s">
        <v>158</v>
      </c>
    </row>
    <row r="18" ht="108" customHeight="1">
      <c r="A18" s="510" t="s">
        <v>47</v>
      </c>
      <c r="B18" s="225" t="s">
        <v>558</v>
      </c>
      <c r="C18" s="19">
        <v>1</v>
      </c>
      <c r="D18" s="261" t="s">
        <v>173</v>
      </c>
      <c r="E18" s="290">
        <v>0</v>
      </c>
      <c r="F18" s="544" t="s">
        <v>161</v>
      </c>
      <c r="G18" s="396" t="s">
        <v>571</v>
      </c>
      <c r="H18" s="147" t="s">
        <v>62</v>
      </c>
      <c r="I18" s="147" t="s">
        <v>66</v>
      </c>
    </row>
    <row r="19" ht="57">
      <c r="A19" s="512"/>
      <c r="B19" s="231"/>
      <c r="C19" s="19">
        <v>2</v>
      </c>
      <c r="D19" s="261" t="s">
        <v>211</v>
      </c>
      <c r="E19" s="287">
        <v>1</v>
      </c>
      <c r="F19" s="392" t="s">
        <v>30</v>
      </c>
      <c r="G19" s="600" t="s">
        <v>572</v>
      </c>
      <c r="H19" s="147" t="s">
        <v>62</v>
      </c>
      <c r="I19" s="261" t="s">
        <v>66</v>
      </c>
    </row>
    <row r="20" ht="30">
      <c r="A20" s="512"/>
      <c r="B20" s="231"/>
      <c r="C20" s="19">
        <v>3</v>
      </c>
      <c r="D20" s="261" t="s">
        <v>104</v>
      </c>
      <c r="E20" s="287">
        <v>1</v>
      </c>
      <c r="F20" s="392" t="s">
        <v>30</v>
      </c>
      <c r="G20" s="264" t="s">
        <v>573</v>
      </c>
      <c r="H20" s="19" t="s">
        <v>62</v>
      </c>
      <c r="I20" s="261" t="s">
        <v>63</v>
      </c>
    </row>
    <row r="21" ht="30">
      <c r="A21" s="512"/>
      <c r="B21" s="231"/>
      <c r="C21" s="19">
        <v>4</v>
      </c>
      <c r="D21" s="261" t="s">
        <v>94</v>
      </c>
      <c r="E21" s="287">
        <v>1</v>
      </c>
      <c r="F21" s="392" t="s">
        <v>30</v>
      </c>
      <c r="G21" s="600" t="s">
        <v>574</v>
      </c>
      <c r="H21" s="19" t="s">
        <v>62</v>
      </c>
      <c r="I21" s="265" t="s">
        <v>66</v>
      </c>
    </row>
    <row r="22" ht="57">
      <c r="A22" s="512"/>
      <c r="B22" s="231"/>
      <c r="C22" s="19">
        <v>5</v>
      </c>
      <c r="D22" s="261" t="s">
        <v>65</v>
      </c>
      <c r="E22" s="290">
        <v>0</v>
      </c>
      <c r="F22" s="544" t="s">
        <v>161</v>
      </c>
      <c r="G22" s="600" t="s">
        <v>575</v>
      </c>
      <c r="H22" s="19" t="s">
        <v>62</v>
      </c>
      <c r="I22" s="229" t="s">
        <v>66</v>
      </c>
    </row>
    <row r="23" ht="57">
      <c r="A23" s="512"/>
      <c r="B23" s="231"/>
      <c r="C23" s="19">
        <v>6</v>
      </c>
      <c r="D23" s="347" t="s">
        <v>79</v>
      </c>
      <c r="E23" s="290">
        <v>0</v>
      </c>
      <c r="F23" s="544" t="s">
        <v>161</v>
      </c>
      <c r="G23" s="347" t="s">
        <v>575</v>
      </c>
      <c r="H23" s="19" t="s">
        <v>62</v>
      </c>
      <c r="I23" s="243" t="s">
        <v>63</v>
      </c>
    </row>
    <row r="24" ht="156.75">
      <c r="A24" s="512"/>
      <c r="B24" s="231"/>
      <c r="C24" s="19">
        <v>7</v>
      </c>
      <c r="D24" s="347" t="s">
        <v>100</v>
      </c>
      <c r="E24" s="609">
        <v>0.93999999999999995</v>
      </c>
      <c r="F24" s="607" t="s">
        <v>30</v>
      </c>
      <c r="G24" s="229" t="s">
        <v>576</v>
      </c>
      <c r="H24" s="19" t="s">
        <v>62</v>
      </c>
      <c r="I24" s="243" t="s">
        <v>63</v>
      </c>
    </row>
    <row r="25" ht="71.25">
      <c r="A25" s="512"/>
      <c r="B25" s="231"/>
      <c r="C25" s="19">
        <v>8</v>
      </c>
      <c r="D25" s="206" t="s">
        <v>90</v>
      </c>
      <c r="E25" s="172">
        <v>1</v>
      </c>
      <c r="F25" s="607" t="s">
        <v>30</v>
      </c>
      <c r="G25" s="229" t="s">
        <v>577</v>
      </c>
      <c r="H25" s="19" t="s">
        <v>62</v>
      </c>
      <c r="I25" s="243" t="s">
        <v>70</v>
      </c>
    </row>
    <row r="26" ht="42.75">
      <c r="A26" s="512"/>
      <c r="B26" s="231"/>
      <c r="C26" s="19">
        <v>9</v>
      </c>
      <c r="D26" s="206" t="s">
        <v>98</v>
      </c>
      <c r="E26" s="172">
        <v>1</v>
      </c>
      <c r="F26" s="607" t="s">
        <v>30</v>
      </c>
      <c r="G26" s="229" t="s">
        <v>578</v>
      </c>
      <c r="H26" s="19" t="s">
        <v>62</v>
      </c>
      <c r="I26" s="243" t="s">
        <v>70</v>
      </c>
    </row>
    <row r="27" ht="28.5">
      <c r="A27" s="512"/>
      <c r="B27" s="231"/>
      <c r="C27" s="311">
        <v>10</v>
      </c>
      <c r="D27" s="205" t="s">
        <v>82</v>
      </c>
      <c r="E27" s="609">
        <v>0.81000000000000005</v>
      </c>
      <c r="F27" s="607" t="s">
        <v>30</v>
      </c>
      <c r="G27" s="82" t="s">
        <v>579</v>
      </c>
      <c r="H27" s="19" t="s">
        <v>62</v>
      </c>
      <c r="I27" s="243" t="s">
        <v>66</v>
      </c>
    </row>
    <row r="28" ht="42.75">
      <c r="A28" s="512"/>
      <c r="B28" s="231"/>
      <c r="C28" s="311">
        <v>11</v>
      </c>
      <c r="D28" s="82" t="s">
        <v>69</v>
      </c>
      <c r="E28" s="290">
        <v>0</v>
      </c>
      <c r="F28" s="544" t="s">
        <v>161</v>
      </c>
      <c r="G28" s="82" t="s">
        <v>542</v>
      </c>
      <c r="H28" s="19" t="s">
        <v>62</v>
      </c>
      <c r="I28" s="243" t="s">
        <v>70</v>
      </c>
    </row>
    <row r="29" ht="85.5">
      <c r="A29" s="512"/>
      <c r="B29" s="231"/>
      <c r="C29" s="311">
        <v>12</v>
      </c>
      <c r="D29" s="82" t="s">
        <v>61</v>
      </c>
      <c r="E29" s="290">
        <v>0</v>
      </c>
      <c r="F29" s="544" t="s">
        <v>161</v>
      </c>
      <c r="G29" s="82" t="s">
        <v>580</v>
      </c>
      <c r="H29" s="19" t="s">
        <v>62</v>
      </c>
      <c r="I29" s="243" t="s">
        <v>70</v>
      </c>
    </row>
    <row r="30" ht="42.75">
      <c r="A30" s="512"/>
      <c r="B30" s="231"/>
      <c r="C30" s="311">
        <v>13</v>
      </c>
      <c r="D30" s="82" t="s">
        <v>67</v>
      </c>
      <c r="E30" s="172">
        <v>1</v>
      </c>
      <c r="F30" s="607" t="s">
        <v>30</v>
      </c>
      <c r="G30" s="82" t="s">
        <v>581</v>
      </c>
      <c r="H30" s="19" t="s">
        <v>62</v>
      </c>
      <c r="I30" s="68" t="s">
        <v>66</v>
      </c>
    </row>
    <row r="31" ht="42.75">
      <c r="A31" s="512"/>
      <c r="B31" s="231"/>
      <c r="C31" s="311">
        <v>14</v>
      </c>
      <c r="D31" s="82" t="s">
        <v>85</v>
      </c>
      <c r="E31" s="290">
        <v>0</v>
      </c>
      <c r="F31" s="544" t="s">
        <v>161</v>
      </c>
      <c r="G31" s="82" t="s">
        <v>582</v>
      </c>
      <c r="H31" s="19" t="s">
        <v>62</v>
      </c>
      <c r="I31" s="68" t="s">
        <v>70</v>
      </c>
    </row>
    <row r="32" ht="57">
      <c r="A32" s="512"/>
      <c r="B32" s="231"/>
      <c r="C32" s="311">
        <v>15</v>
      </c>
      <c r="D32" s="82" t="s">
        <v>185</v>
      </c>
      <c r="E32" s="290">
        <v>0</v>
      </c>
      <c r="F32" s="544" t="s">
        <v>161</v>
      </c>
      <c r="G32" s="82" t="s">
        <v>583</v>
      </c>
      <c r="H32" s="19" t="s">
        <v>62</v>
      </c>
      <c r="I32" s="68" t="s">
        <v>63</v>
      </c>
    </row>
    <row r="33" ht="28.5">
      <c r="A33" s="512"/>
      <c r="B33" s="231"/>
      <c r="C33" s="311">
        <v>16</v>
      </c>
      <c r="D33" s="82" t="s">
        <v>72</v>
      </c>
      <c r="E33" s="172">
        <v>1</v>
      </c>
      <c r="F33" s="607" t="s">
        <v>30</v>
      </c>
      <c r="G33" s="68" t="s">
        <v>341</v>
      </c>
      <c r="H33" s="19" t="s">
        <v>62</v>
      </c>
      <c r="I33" s="209" t="s">
        <v>66</v>
      </c>
    </row>
    <row r="34" ht="71.25">
      <c r="A34" s="512"/>
      <c r="B34" s="231"/>
      <c r="C34" s="101">
        <v>17</v>
      </c>
      <c r="D34" s="205" t="s">
        <v>88</v>
      </c>
      <c r="E34" s="290">
        <v>0</v>
      </c>
      <c r="F34" s="544" t="s">
        <v>161</v>
      </c>
      <c r="G34" s="82" t="s">
        <v>571</v>
      </c>
      <c r="H34" s="19" t="s">
        <v>62</v>
      </c>
      <c r="I34" s="209" t="s">
        <v>66</v>
      </c>
    </row>
    <row r="35" ht="228">
      <c r="A35" s="512"/>
      <c r="B35" s="231"/>
      <c r="C35" s="101">
        <v>18</v>
      </c>
      <c r="D35" s="205" t="s">
        <v>93</v>
      </c>
      <c r="E35" s="378">
        <v>0.60999999999999999</v>
      </c>
      <c r="F35" s="321" t="s">
        <v>27</v>
      </c>
      <c r="G35" s="82" t="s">
        <v>377</v>
      </c>
      <c r="H35" s="19" t="s">
        <v>62</v>
      </c>
      <c r="I35" s="209" t="s">
        <v>66</v>
      </c>
    </row>
    <row r="36" ht="57">
      <c r="A36" s="512"/>
      <c r="B36" s="231"/>
      <c r="C36" s="209">
        <v>19</v>
      </c>
      <c r="D36" s="205" t="s">
        <v>80</v>
      </c>
      <c r="E36" s="290">
        <v>0</v>
      </c>
      <c r="F36" s="544" t="s">
        <v>161</v>
      </c>
      <c r="G36" s="82" t="s">
        <v>583</v>
      </c>
      <c r="H36" s="19" t="s">
        <v>62</v>
      </c>
      <c r="I36" s="209" t="s">
        <v>70</v>
      </c>
    </row>
    <row r="37" ht="99.75">
      <c r="A37" s="512"/>
      <c r="B37" s="231"/>
      <c r="C37" s="68">
        <v>20</v>
      </c>
      <c r="D37" s="82" t="s">
        <v>91</v>
      </c>
      <c r="E37" s="290">
        <v>0</v>
      </c>
      <c r="F37" s="544" t="s">
        <v>161</v>
      </c>
      <c r="G37" s="82" t="s">
        <v>584</v>
      </c>
      <c r="H37" s="19" t="s">
        <v>62</v>
      </c>
      <c r="I37" s="209" t="s">
        <v>70</v>
      </c>
    </row>
    <row r="38" ht="28.5">
      <c r="A38" s="512"/>
      <c r="B38" s="231"/>
      <c r="C38" s="68">
        <v>21</v>
      </c>
      <c r="D38" s="82" t="s">
        <v>92</v>
      </c>
      <c r="E38" s="380">
        <v>1</v>
      </c>
      <c r="F38" s="485" t="s">
        <v>30</v>
      </c>
      <c r="G38" s="82" t="s">
        <v>585</v>
      </c>
      <c r="H38" s="19" t="s">
        <v>62</v>
      </c>
      <c r="I38" s="209" t="s">
        <v>63</v>
      </c>
    </row>
    <row r="39" ht="85.5">
      <c r="A39" s="512"/>
      <c r="B39" s="231"/>
      <c r="C39" s="68">
        <v>22</v>
      </c>
      <c r="D39" s="82" t="s">
        <v>74</v>
      </c>
      <c r="E39" s="290">
        <v>0</v>
      </c>
      <c r="F39" s="544" t="s">
        <v>161</v>
      </c>
      <c r="G39" s="82" t="s">
        <v>586</v>
      </c>
      <c r="H39" s="19" t="s">
        <v>62</v>
      </c>
      <c r="I39" s="209" t="s">
        <v>63</v>
      </c>
    </row>
    <row r="40" ht="42.75">
      <c r="A40" s="512"/>
      <c r="B40" s="231"/>
      <c r="C40" s="68">
        <v>23</v>
      </c>
      <c r="D40" s="82" t="s">
        <v>84</v>
      </c>
      <c r="E40" s="610">
        <v>1</v>
      </c>
      <c r="F40" s="485" t="s">
        <v>30</v>
      </c>
      <c r="G40" s="82" t="s">
        <v>587</v>
      </c>
      <c r="H40" s="19" t="s">
        <v>62</v>
      </c>
      <c r="I40" s="209" t="s">
        <v>70</v>
      </c>
    </row>
    <row r="41" ht="85.5">
      <c r="A41" s="512"/>
      <c r="B41" s="231"/>
      <c r="C41" s="68">
        <v>24</v>
      </c>
      <c r="D41" s="82" t="s">
        <v>77</v>
      </c>
      <c r="E41" s="610">
        <v>1</v>
      </c>
      <c r="F41" s="485" t="s">
        <v>30</v>
      </c>
      <c r="G41" s="82" t="s">
        <v>588</v>
      </c>
      <c r="H41" s="19" t="s">
        <v>62</v>
      </c>
      <c r="I41" s="209" t="s">
        <v>70</v>
      </c>
    </row>
    <row r="42" ht="30">
      <c r="A42" s="512"/>
      <c r="B42" s="231"/>
      <c r="C42" s="68">
        <v>25</v>
      </c>
      <c r="D42" s="68" t="s">
        <v>76</v>
      </c>
      <c r="E42" s="290">
        <v>0</v>
      </c>
      <c r="F42" s="544" t="s">
        <v>161</v>
      </c>
      <c r="G42" s="82" t="s">
        <v>349</v>
      </c>
      <c r="H42" s="19" t="s">
        <v>62</v>
      </c>
      <c r="I42" s="68" t="s">
        <v>70</v>
      </c>
    </row>
    <row r="43" ht="114">
      <c r="A43" s="523"/>
      <c r="B43" s="244"/>
      <c r="C43" s="209">
        <v>26</v>
      </c>
      <c r="D43" s="205" t="s">
        <v>96</v>
      </c>
      <c r="E43" s="361" t="s">
        <v>250</v>
      </c>
      <c r="F43" s="611" t="s">
        <v>251</v>
      </c>
      <c r="G43" s="82" t="s">
        <v>383</v>
      </c>
      <c r="H43" s="19" t="s">
        <v>62</v>
      </c>
      <c r="I43" s="209" t="s">
        <v>66</v>
      </c>
    </row>
    <row r="44" ht="14.25">
      <c r="E44" s="323">
        <f>(E18+E19+E20+E21+E22+E23+E24+E25+E26+E27+E28+E29+E30+E31+E32+E33+E34+E35+E36+E37+E38+E39+E40+E41+E42)/25</f>
        <v>0.49439999999999995</v>
      </c>
    </row>
    <row r="45" ht="14.25">
      <c r="E45" s="323"/>
    </row>
    <row r="46" ht="17.25">
      <c r="A46" s="604" t="s">
        <v>193</v>
      </c>
      <c r="B46" s="605"/>
      <c r="C46" s="605"/>
      <c r="D46" s="605"/>
      <c r="E46" s="605"/>
      <c r="F46" s="605"/>
      <c r="G46" s="605"/>
      <c r="H46" s="605"/>
      <c r="I46" s="605"/>
    </row>
    <row r="47" ht="92.25" customHeight="1">
      <c r="A47" s="176" t="s">
        <v>394</v>
      </c>
      <c r="B47" s="168" t="s">
        <v>568</v>
      </c>
      <c r="C47" s="169"/>
      <c r="D47" s="170"/>
      <c r="E47" s="612">
        <v>0.48999999999999999</v>
      </c>
      <c r="F47" s="353" t="s">
        <v>24</v>
      </c>
      <c r="G47" s="168" t="s">
        <v>589</v>
      </c>
      <c r="H47" s="169"/>
      <c r="I47" s="170"/>
    </row>
    <row r="48" ht="14.25"/>
  </sheetData>
  <mergeCells count="11">
    <mergeCell ref="E2:F2"/>
    <mergeCell ref="A3:A11"/>
    <mergeCell ref="B3:B11"/>
    <mergeCell ref="B14:D14"/>
    <mergeCell ref="G14:I14"/>
    <mergeCell ref="A16:I16"/>
    <mergeCell ref="E17:F17"/>
    <mergeCell ref="A18:A43"/>
    <mergeCell ref="B18:B43"/>
    <mergeCell ref="B47:D47"/>
    <mergeCell ref="G47:I4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99004D-00F9-4BCE-BD0B-00EF003D00C6}">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D8005A-00EC-4F61-BFAD-000C000C007C}">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2D0000-00E6-4805-A6D1-00A7001000F2}">
            <xm:f>NOT(ISERROR(SEARCH("Высокий уровень",D9)))</xm:f>
            <x14:dxf>
              <fill>
                <patternFill patternType="solid">
                  <fgColor rgb="FF70AD47"/>
                  <bgColor rgb="FF70AD47"/>
                </patternFill>
              </fill>
            </x14:dxf>
          </x14:cfRule>
          <xm:sqref>E14</xm:sqref>
        </x14:conditionalFormatting>
        <x14:conditionalFormatting xmlns:xm="http://schemas.microsoft.com/office/excel/2006/main">
          <x14:cfRule type="containsText" priority="6" text="Высокий уровень" id="{008400DD-00AB-47BE-A9CB-00E700950011}">
            <xm:f>NOT(ISERROR(SEARCH("Высокий уровень",D9)))</xm:f>
            <x14:dxf>
              <fill>
                <patternFill patternType="solid">
                  <fgColor rgb="FF70AD47"/>
                  <bgColor rgb="FF70AD47"/>
                </patternFill>
              </fill>
            </x14:dxf>
          </x14:cfRule>
          <xm:sqref>E14</xm:sqref>
        </x14:conditionalFormatting>
        <x14:conditionalFormatting xmlns:xm="http://schemas.microsoft.com/office/excel/2006/main">
          <x14:cfRule type="containsText" priority="6" text="Высокий уровень" id="{00410050-007B-42C5-B333-002D00CC00E9}">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3C00C1-00EC-4649-A080-0091005D0087}">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5F002E-00BB-434E-8224-00BB006800FC}">
            <xm:f>NOT(ISERROR(SEARCH("Высокий уровень",D9)))</xm:f>
            <x14:dxf>
              <fill>
                <patternFill patternType="solid">
                  <fgColor rgb="FF70AD47"/>
                  <bgColor rgb="FF70AD47"/>
                </patternFill>
              </fill>
            </x14:dxf>
          </x14:cfRule>
          <xm:sqref>E47</xm:sqref>
        </x14:conditionalFormatting>
        <x14:conditionalFormatting xmlns:xm="http://schemas.microsoft.com/office/excel/2006/main">
          <x14:cfRule type="containsText" priority="6" text="Высокий уровень" id="{00AA0093-0005-4EC1-9B39-002800160051}">
            <xm:f>NOT(ISERROR(SEARCH("Высокий уровень",D9)))</xm:f>
            <x14:dxf>
              <fill>
                <patternFill patternType="solid">
                  <fgColor rgb="FF70AD47"/>
                  <bgColor rgb="FF70AD47"/>
                </patternFill>
              </fill>
            </x14:dxf>
          </x14:cfRule>
          <xm:sqref>E47</xm:sqref>
        </x14:conditionalFormatting>
        <x14:conditionalFormatting xmlns:xm="http://schemas.microsoft.com/office/excel/2006/main">
          <x14:cfRule type="containsText" priority="6" text="Высокий уровень" id="{00C300D8-00B2-403C-AFF6-006100C100D1}">
            <xm:f>NOT(ISERROR(SEARCH("Высокий уровень",E9)))</xm:f>
            <x14:dxf>
              <fill>
                <patternFill patternType="solid">
                  <fgColor rgb="FF70AD47"/>
                  <bgColor rgb="FF70AD47"/>
                </patternFill>
              </fill>
            </x14:dxf>
          </x14:cfRule>
          <xm:sqref>F43</xm:sqref>
        </x14:conditionalFormatting>
        <x14:conditionalFormatting xmlns:xm="http://schemas.microsoft.com/office/excel/2006/main">
          <x14:cfRule type="containsText" priority="6" text="Высокий уровень" id="{00520094-006C-4E56-97F2-00AB006A000F}">
            <xm:f>NOT(ISERROR(SEARCH("Высокий уровень",D9)))</xm:f>
            <x14:dxf>
              <fill>
                <patternFill patternType="solid">
                  <fgColor rgb="FF70AD47"/>
                  <bgColor rgb="FF70AD47"/>
                </patternFill>
              </fill>
            </x14:dxf>
          </x14:cfRule>
          <xm:sqref>F43</xm:sqref>
        </x14:conditionalFormatting>
        <x14:conditionalFormatting xmlns:xm="http://schemas.microsoft.com/office/excel/2006/main">
          <x14:cfRule type="containsText" priority="5" text="Выше среднего" id="{005C0083-0081-450B-A8B3-0053004F00D5}">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810003-00FE-42B0-97F8-006B00AB0097}">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2600BE-00F1-4B17-9EA2-0018006500BF}">
            <xm:f>NOT(ISERROR(SEARCH("Выше среднего",D9)))</xm:f>
            <x14:dxf>
              <fill>
                <patternFill patternType="solid">
                  <fgColor rgb="FFA9D08D"/>
                  <bgColor rgb="FFA9D08D"/>
                </patternFill>
              </fill>
            </x14:dxf>
          </x14:cfRule>
          <xm:sqref>E14</xm:sqref>
        </x14:conditionalFormatting>
        <x14:conditionalFormatting xmlns:xm="http://schemas.microsoft.com/office/excel/2006/main">
          <x14:cfRule type="containsText" priority="5" text="Выше среднего" id="{00AB0003-0013-46D6-99FB-007E006A005B}">
            <xm:f>NOT(ISERROR(SEARCH("Выше среднего",D9)))</xm:f>
            <x14:dxf>
              <fill>
                <patternFill patternType="solid">
                  <fgColor rgb="FFA9D08D"/>
                  <bgColor rgb="FFA9D08D"/>
                </patternFill>
              </fill>
            </x14:dxf>
          </x14:cfRule>
          <xm:sqref>E14</xm:sqref>
        </x14:conditionalFormatting>
        <x14:conditionalFormatting xmlns:xm="http://schemas.microsoft.com/office/excel/2006/main">
          <x14:cfRule type="containsText" priority="5" text="Выше среднего" id="{006F00C9-0052-4FD7-9642-00CF00560062}">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F2002E-00CB-4F33-9EE0-00C8003400FD}">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93006D-00AC-4838-8600-00EE00470030}">
            <xm:f>NOT(ISERROR(SEARCH("Выше среднего",D9)))</xm:f>
            <x14:dxf>
              <fill>
                <patternFill patternType="solid">
                  <fgColor rgb="FFA9D08D"/>
                  <bgColor rgb="FFA9D08D"/>
                </patternFill>
              </fill>
            </x14:dxf>
          </x14:cfRule>
          <xm:sqref>E47</xm:sqref>
        </x14:conditionalFormatting>
        <x14:conditionalFormatting xmlns:xm="http://schemas.microsoft.com/office/excel/2006/main">
          <x14:cfRule type="containsText" priority="5" text="Выше среднего" id="{00610098-0047-42FF-9289-004400EC0016}">
            <xm:f>NOT(ISERROR(SEARCH("Выше среднего",D9)))</xm:f>
            <x14:dxf>
              <fill>
                <patternFill patternType="solid">
                  <fgColor rgb="FFA9D08D"/>
                  <bgColor rgb="FFA9D08D"/>
                </patternFill>
              </fill>
            </x14:dxf>
          </x14:cfRule>
          <xm:sqref>E47</xm:sqref>
        </x14:conditionalFormatting>
        <x14:conditionalFormatting xmlns:xm="http://schemas.microsoft.com/office/excel/2006/main">
          <x14:cfRule type="containsText" priority="5" text="Выше среднего" id="{00B600E3-0098-41B9-99CE-00CF0067009D}">
            <xm:f>NOT(ISERROR(SEARCH("Выше среднего",D9)))</xm:f>
            <x14:dxf>
              <fill>
                <patternFill patternType="solid">
                  <fgColor rgb="FFA9D08D"/>
                  <bgColor rgb="FFA9D08D"/>
                </patternFill>
              </fill>
            </x14:dxf>
          </x14:cfRule>
          <xm:sqref>F43</xm:sqref>
        </x14:conditionalFormatting>
        <x14:conditionalFormatting xmlns:xm="http://schemas.microsoft.com/office/excel/2006/main">
          <x14:cfRule type="containsText" priority="5" text="Выше среднего" id="{00A700F2-0092-4D77-9FD1-006300AB00CD}">
            <xm:f>NOT(ISERROR(SEARCH("Выше среднего",D9)))</xm:f>
            <x14:dxf>
              <fill>
                <patternFill patternType="solid">
                  <fgColor rgb="FFA9D08D"/>
                  <bgColor rgb="FFA9D08D"/>
                </patternFill>
              </fill>
            </x14:dxf>
          </x14:cfRule>
          <xm:sqref>F43</xm:sqref>
        </x14:conditionalFormatting>
        <x14:conditionalFormatting xmlns:xm="http://schemas.microsoft.com/office/excel/2006/main">
          <x14:cfRule type="containsText" priority="4" text="Средний уровень" id="{00A300A4-005C-408D-AE4B-00EF00E000D9}">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CC00A9-0029-432F-BD32-009000E80048}">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DD0000-0024-4B10-9EC3-004000780090}">
            <xm:f>NOT(ISERROR(SEARCH("Средний уровень",D9)))</xm:f>
            <x14:dxf>
              <font>
                <color theme="1" tint="0"/>
              </font>
              <fill>
                <patternFill patternType="solid">
                  <fgColor indexed="5"/>
                  <bgColor indexed="5"/>
                </patternFill>
              </fill>
            </x14:dxf>
          </x14:cfRule>
          <xm:sqref>E14</xm:sqref>
        </x14:conditionalFormatting>
        <x14:conditionalFormatting xmlns:xm="http://schemas.microsoft.com/office/excel/2006/main">
          <x14:cfRule type="containsText" priority="4" text="Средний уровень" id="{00CF00EE-00D0-42F6-B307-00DD006400CF}">
            <xm:f>NOT(ISERROR(SEARCH("Средний уровень",D9)))</xm:f>
            <x14:dxf>
              <font>
                <color theme="1" tint="0"/>
              </font>
              <fill>
                <patternFill patternType="solid">
                  <fgColor indexed="5"/>
                  <bgColor indexed="5"/>
                </patternFill>
              </fill>
            </x14:dxf>
          </x14:cfRule>
          <xm:sqref>E14</xm:sqref>
        </x14:conditionalFormatting>
        <x14:conditionalFormatting xmlns:xm="http://schemas.microsoft.com/office/excel/2006/main">
          <x14:cfRule type="containsText" priority="4" text="Средний уровень" id="{008200E1-0084-4A39-A13C-00E000DD00B0}">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2B0067-0072-439A-9305-00C90071006C}">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9B00D8-0075-4ACB-811D-007500A700EA}">
            <xm:f>NOT(ISERROR(SEARCH("Средний уровень",D9)))</xm:f>
            <x14:dxf>
              <font>
                <color theme="1" tint="0"/>
              </font>
              <fill>
                <patternFill patternType="solid">
                  <fgColor indexed="5"/>
                  <bgColor indexed="5"/>
                </patternFill>
              </fill>
            </x14:dxf>
          </x14:cfRule>
          <xm:sqref>E47</xm:sqref>
        </x14:conditionalFormatting>
        <x14:conditionalFormatting xmlns:xm="http://schemas.microsoft.com/office/excel/2006/main">
          <x14:cfRule type="containsText" priority="4" text="Средний уровень" id="{0036009E-00CF-4886-B4D6-00E100B600D9}">
            <xm:f>NOT(ISERROR(SEARCH("Средний уровень",D9)))</xm:f>
            <x14:dxf>
              <font>
                <color theme="1" tint="0"/>
              </font>
              <fill>
                <patternFill patternType="solid">
                  <fgColor indexed="5"/>
                  <bgColor indexed="5"/>
                </patternFill>
              </fill>
            </x14:dxf>
          </x14:cfRule>
          <xm:sqref>E47</xm:sqref>
        </x14:conditionalFormatting>
        <x14:conditionalFormatting xmlns:xm="http://schemas.microsoft.com/office/excel/2006/main">
          <x14:cfRule type="containsText" priority="4" text="Средний уровень" id="{006E0068-0055-4602-926C-0074007E00AC}">
            <xm:f>NOT(ISERROR(SEARCH("Средний уровень",D9)))</xm:f>
            <x14:dxf>
              <font>
                <color theme="1" tint="0"/>
              </font>
              <fill>
                <patternFill patternType="solid">
                  <fgColor indexed="5"/>
                  <bgColor indexed="5"/>
                </patternFill>
              </fill>
            </x14:dxf>
          </x14:cfRule>
          <xm:sqref>F43</xm:sqref>
        </x14:conditionalFormatting>
        <x14:conditionalFormatting xmlns:xm="http://schemas.microsoft.com/office/excel/2006/main">
          <x14:cfRule type="containsText" priority="4" text="Средний уровень" id="{008E008C-0070-41A4-BF71-0009003100C6}">
            <xm:f>NOT(ISERROR(SEARCH("Средний уровень",D9)))</xm:f>
            <x14:dxf>
              <font>
                <color theme="1" tint="0"/>
              </font>
              <fill>
                <patternFill patternType="solid">
                  <fgColor indexed="5"/>
                  <bgColor indexed="5"/>
                </patternFill>
              </fill>
            </x14:dxf>
          </x14:cfRule>
          <xm:sqref>F43</xm:sqref>
        </x14:conditionalFormatting>
        <x14:conditionalFormatting xmlns:xm="http://schemas.microsoft.com/office/excel/2006/main">
          <x14:cfRule type="containsText" priority="3" text="Ниже среднего" id="{0050007E-0062-4E76-B16B-008900010018}">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DC00D4-00BE-4B2F-BA81-001F00600018}">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6400AD-002A-479D-9662-00C20048003C}">
            <xm:f>NOT(ISERROR(SEARCH("Ниже среднего",D9)))</xm:f>
            <x14:dxf>
              <fill>
                <patternFill patternType="solid">
                  <fgColor rgb="FFED7D31"/>
                  <bgColor rgb="FFED7D31"/>
                </patternFill>
              </fill>
            </x14:dxf>
          </x14:cfRule>
          <xm:sqref>E14</xm:sqref>
        </x14:conditionalFormatting>
        <x14:conditionalFormatting xmlns:xm="http://schemas.microsoft.com/office/excel/2006/main">
          <x14:cfRule type="containsText" priority="3" text="Ниже среднего" id="{003F008E-0051-4C27-8D32-00C500B7005B}">
            <xm:f>NOT(ISERROR(SEARCH("Ниже среднего",D9)))</xm:f>
            <x14:dxf>
              <fill>
                <patternFill patternType="solid">
                  <fgColor rgb="FFED7D31"/>
                  <bgColor rgb="FFED7D31"/>
                </patternFill>
              </fill>
            </x14:dxf>
          </x14:cfRule>
          <xm:sqref>E14</xm:sqref>
        </x14:conditionalFormatting>
        <x14:conditionalFormatting xmlns:xm="http://schemas.microsoft.com/office/excel/2006/main">
          <x14:cfRule type="containsText" priority="3" text="Ниже среднего" id="{00910018-00A1-4D79-9D34-002300170052}">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32000D-0004-46F6-9BFD-002F00380001}">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54004E-001F-46F9-8B1C-007100CF004C}">
            <xm:f>NOT(ISERROR(SEARCH("Ниже среднего",D9)))</xm:f>
            <x14:dxf>
              <fill>
                <patternFill patternType="solid">
                  <fgColor rgb="FFED7D31"/>
                  <bgColor rgb="FFED7D31"/>
                </patternFill>
              </fill>
            </x14:dxf>
          </x14:cfRule>
          <xm:sqref>E47</xm:sqref>
        </x14:conditionalFormatting>
        <x14:conditionalFormatting xmlns:xm="http://schemas.microsoft.com/office/excel/2006/main">
          <x14:cfRule type="containsText" priority="3" text="Ниже среднего" id="{00B6003D-00E2-4064-84D1-0054001300D6}">
            <xm:f>NOT(ISERROR(SEARCH("Ниже среднего",D9)))</xm:f>
            <x14:dxf>
              <fill>
                <patternFill patternType="solid">
                  <fgColor rgb="FFED7D31"/>
                  <bgColor rgb="FFED7D31"/>
                </patternFill>
              </fill>
            </x14:dxf>
          </x14:cfRule>
          <xm:sqref>E47</xm:sqref>
        </x14:conditionalFormatting>
        <x14:conditionalFormatting xmlns:xm="http://schemas.microsoft.com/office/excel/2006/main">
          <x14:cfRule type="containsText" priority="3" text="Ниже среднего" id="{00030004-0097-4901-B5FC-007E006000F9}">
            <xm:f>NOT(ISERROR(SEARCH("Ниже среднего",D9)))</xm:f>
            <x14:dxf>
              <fill>
                <patternFill patternType="solid">
                  <fgColor rgb="FFED7D31"/>
                  <bgColor rgb="FFED7D31"/>
                </patternFill>
              </fill>
            </x14:dxf>
          </x14:cfRule>
          <xm:sqref>F43</xm:sqref>
        </x14:conditionalFormatting>
        <x14:conditionalFormatting xmlns:xm="http://schemas.microsoft.com/office/excel/2006/main">
          <x14:cfRule type="containsText" priority="3" text="Ниже среднего" id="{008400F7-0041-4638-8AA8-0034003400CF}">
            <xm:f>NOT(ISERROR(SEARCH("Ниже среднего",D9)))</xm:f>
            <x14:dxf>
              <fill>
                <patternFill patternType="solid">
                  <fgColor rgb="FFED7D31"/>
                  <bgColor rgb="FFED7D31"/>
                </patternFill>
              </fill>
            </x14:dxf>
          </x14:cfRule>
          <xm:sqref>F43</xm:sqref>
        </x14:conditionalFormatting>
        <x14:conditionalFormatting xmlns:xm="http://schemas.microsoft.com/office/excel/2006/main">
          <x14:cfRule type="containsText" priority="2" text="Низкий уровень" id="{005E005D-00BC-4D88-A440-006E00690010}">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8D00E9-0098-4793-863B-005B00B100CF}">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CE00FD-0004-4FFF-85D2-0000006800F8}">
            <xm:f>NOT(ISERROR(SEARCH("Низкий уровень",D9)))</xm:f>
            <x14:dxf>
              <fill>
                <patternFill patternType="solid">
                  <fgColor indexed="2"/>
                  <bgColor indexed="2"/>
                </patternFill>
              </fill>
            </x14:dxf>
          </x14:cfRule>
          <xm:sqref>E14</xm:sqref>
        </x14:conditionalFormatting>
        <x14:conditionalFormatting xmlns:xm="http://schemas.microsoft.com/office/excel/2006/main">
          <x14:cfRule type="containsText" priority="2" text="Низкий уровень" id="{008200F5-008A-4472-9926-009300310038}">
            <xm:f>NOT(ISERROR(SEARCH("Низкий уровень",D9)))</xm:f>
            <x14:dxf>
              <fill>
                <patternFill patternType="solid">
                  <fgColor indexed="2"/>
                  <bgColor indexed="2"/>
                </patternFill>
              </fill>
            </x14:dxf>
          </x14:cfRule>
          <xm:sqref>E14</xm:sqref>
        </x14:conditionalFormatting>
        <x14:conditionalFormatting xmlns:xm="http://schemas.microsoft.com/office/excel/2006/main">
          <x14:cfRule type="containsText" priority="2" text="Низкий уровень" id="{00EF00D9-00E8-4820-B75B-008B006300F3}">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C600BA-000C-48CD-B154-00230035009A}">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F70041-00BD-4DBF-A890-00C000BA0074}">
            <xm:f>NOT(ISERROR(SEARCH("Низкий уровень",D9)))</xm:f>
            <x14:dxf>
              <fill>
                <patternFill patternType="solid">
                  <fgColor indexed="2"/>
                  <bgColor indexed="2"/>
                </patternFill>
              </fill>
            </x14:dxf>
          </x14:cfRule>
          <xm:sqref>E47</xm:sqref>
        </x14:conditionalFormatting>
        <x14:conditionalFormatting xmlns:xm="http://schemas.microsoft.com/office/excel/2006/main">
          <x14:cfRule type="containsText" priority="2" text="Низкий уровень" id="{005200E2-005D-415F-9493-006800D400EE}">
            <xm:f>NOT(ISERROR(SEARCH("Низкий уровень",D9)))</xm:f>
            <x14:dxf>
              <fill>
                <patternFill patternType="solid">
                  <fgColor indexed="2"/>
                  <bgColor indexed="2"/>
                </patternFill>
              </fill>
            </x14:dxf>
          </x14:cfRule>
          <xm:sqref>E47</xm:sqref>
        </x14:conditionalFormatting>
        <x14:conditionalFormatting xmlns:xm="http://schemas.microsoft.com/office/excel/2006/main">
          <x14:cfRule type="containsText" priority="2" text="Низкий уровень" id="{00EF00D0-00A7-4D55-A7B2-00CE006D00C0}">
            <xm:f>NOT(ISERROR(SEARCH("Низкий уровень",D9)))</xm:f>
            <x14:dxf>
              <fill>
                <patternFill patternType="solid">
                  <fgColor indexed="2"/>
                  <bgColor indexed="2"/>
                </patternFill>
              </fill>
            </x14:dxf>
          </x14:cfRule>
          <xm:sqref>F43</xm:sqref>
        </x14:conditionalFormatting>
        <x14:conditionalFormatting xmlns:xm="http://schemas.microsoft.com/office/excel/2006/main">
          <x14:cfRule type="containsText" priority="2" text="Низкий уровень" id="{00740070-00D7-49FF-B347-001D00F300DC}">
            <xm:f>NOT(ISERROR(SEARCH("Низкий уровень",D9)))</xm:f>
            <x14:dxf>
              <fill>
                <patternFill patternType="solid">
                  <fgColor indexed="2"/>
                  <bgColor indexed="2"/>
                </patternFill>
              </fill>
            </x14:dxf>
          </x14:cfRule>
          <xm:sqref>F43</xm:sqref>
        </x14:conditionalFormatting>
        <x14:conditionalFormatting xmlns:xm="http://schemas.microsoft.com/office/excel/2006/main">
          <x14:cfRule type="containsText" priority="1" text="Невозможно измерить" id="{00DB0048-0029-44ED-A867-00E700300092}">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CE00AF-001D-4E0D-B28A-003B00B000FD}">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0100CF-007E-4624-BDF0-00AE007D008A}">
            <xm:f>NOT(ISERROR(SEARCH("Невозможно измерить",D9)))</xm:f>
            <x14:dxf>
              <fill>
                <patternFill patternType="solid">
                  <fgColor rgb="FF7F7F7F"/>
                  <bgColor rgb="FF7F7F7F"/>
                </patternFill>
              </fill>
            </x14:dxf>
          </x14:cfRule>
          <xm:sqref>E14</xm:sqref>
        </x14:conditionalFormatting>
        <x14:conditionalFormatting xmlns:xm="http://schemas.microsoft.com/office/excel/2006/main">
          <x14:cfRule type="containsText" priority="1" text="Невозможно измерить" id="{005500E5-001B-48C3-9666-00AB00EC0071}">
            <xm:f>NOT(ISERROR(SEARCH("Невозможно измерить",D9)))</xm:f>
            <x14:dxf>
              <fill>
                <patternFill patternType="solid">
                  <fgColor rgb="FF7F7F7F"/>
                  <bgColor rgb="FF7F7F7F"/>
                </patternFill>
              </fill>
            </x14:dxf>
          </x14:cfRule>
          <xm:sqref>E14</xm:sqref>
        </x14:conditionalFormatting>
        <x14:conditionalFormatting xmlns:xm="http://schemas.microsoft.com/office/excel/2006/main">
          <x14:cfRule type="containsText" priority="1" text="Невозможно измерить" id="{00F30013-00EF-48F5-A7E1-00A600CC004B}">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F5007B-00FE-416B-BFD2-004F004E009F}">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1900A1-00A3-4DA8-BCAB-00D40029007B}">
            <xm:f>NOT(ISERROR(SEARCH("Невозможно измерить",D9)))</xm:f>
            <x14:dxf>
              <fill>
                <patternFill patternType="solid">
                  <fgColor rgb="FF7F7F7F"/>
                  <bgColor rgb="FF7F7F7F"/>
                </patternFill>
              </fill>
            </x14:dxf>
          </x14:cfRule>
          <xm:sqref>E47</xm:sqref>
        </x14:conditionalFormatting>
        <x14:conditionalFormatting xmlns:xm="http://schemas.microsoft.com/office/excel/2006/main">
          <x14:cfRule type="containsText" priority="1" text="Невозможно измерить" id="{00B200A8-006F-4667-B587-008A004C008F}">
            <xm:f>NOT(ISERROR(SEARCH("Невозможно измерить",D9)))</xm:f>
            <x14:dxf>
              <fill>
                <patternFill patternType="solid">
                  <fgColor rgb="FF7F7F7F"/>
                  <bgColor rgb="FF7F7F7F"/>
                </patternFill>
              </fill>
            </x14:dxf>
          </x14:cfRule>
          <xm:sqref>E47</xm:sqref>
        </x14:conditionalFormatting>
        <x14:conditionalFormatting xmlns:xm="http://schemas.microsoft.com/office/excel/2006/main">
          <x14:cfRule type="containsText" priority="1" text="Невозможно измерить" id="{00DD0024-00FD-403E-BDC2-00EA004F003C}">
            <xm:f>NOT(ISERROR(SEARCH("Невозможно измерить",D9)))</xm:f>
            <x14:dxf>
              <fill>
                <patternFill patternType="solid">
                  <fgColor rgb="FF7F7F7F"/>
                  <bgColor rgb="FF7F7F7F"/>
                </patternFill>
              </fill>
            </x14:dxf>
          </x14:cfRule>
          <xm:sqref>F43</xm:sqref>
        </x14:conditionalFormatting>
        <x14:conditionalFormatting xmlns:xm="http://schemas.microsoft.com/office/excel/2006/main">
          <x14:cfRule type="containsText" priority="1" text="Невозможно измерить" id="{00EE00AB-0005-4272-988F-008A0074004B}">
            <xm:f>NOT(ISERROR(SEARCH("Невозможно измерить",D9)))</xm:f>
            <x14:dxf>
              <fill>
                <patternFill patternType="solid">
                  <fgColor rgb="FF7F7F7F"/>
                  <bgColor rgb="FF7F7F7F"/>
                </patternFill>
              </fill>
            </x14:dxf>
          </x14:cfRule>
          <xm:sqref>F43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4" zoomScale="100" workbookViewId="0">
      <selection activeCell="A1" activeCellId="0" sqref="A1"/>
    </sheetView>
  </sheetViews>
  <sheetFormatPr defaultRowHeight="14.25"/>
  <cols>
    <col customWidth="1" min="1" max="1" width="19.00390625"/>
    <col customWidth="1" min="2" max="2" width="16.57421875"/>
    <col customWidth="1" min="3" max="3" width="8.140625"/>
    <col customWidth="1" min="4" max="4" width="24.421875"/>
    <col customWidth="1" min="5" max="5" width="11.421875"/>
    <col customWidth="1" min="6" max="6" width="13.421875"/>
    <col customWidth="1" min="7" max="7" width="92.00390625"/>
    <col customWidth="1" min="9" max="9" style="215" width="22.7109375"/>
  </cols>
  <sheetData>
    <row r="1" ht="15">
      <c r="A1" s="613" t="s">
        <v>153</v>
      </c>
      <c r="B1" s="614"/>
      <c r="C1" s="614"/>
      <c r="D1" s="614"/>
      <c r="E1" s="614"/>
      <c r="F1" s="614"/>
      <c r="G1" s="614"/>
      <c r="H1" s="614"/>
      <c r="I1" s="615"/>
    </row>
    <row r="2" ht="30">
      <c r="A2" s="525" t="s">
        <v>154</v>
      </c>
      <c r="B2" s="525" t="s">
        <v>127</v>
      </c>
      <c r="C2" s="525" t="s">
        <v>196</v>
      </c>
      <c r="D2" s="526" t="s">
        <v>155</v>
      </c>
      <c r="E2" s="527" t="s">
        <v>8</v>
      </c>
      <c r="F2" s="528"/>
      <c r="G2" s="526" t="s">
        <v>156</v>
      </c>
      <c r="H2" s="529" t="s">
        <v>230</v>
      </c>
      <c r="I2" s="223" t="s">
        <v>158</v>
      </c>
    </row>
    <row r="3" ht="92.25" customHeight="1">
      <c r="A3" s="616" t="s">
        <v>137</v>
      </c>
      <c r="B3" s="391" t="s">
        <v>138</v>
      </c>
      <c r="C3" s="19">
        <v>1</v>
      </c>
      <c r="D3" s="261" t="s">
        <v>29</v>
      </c>
      <c r="E3" s="617">
        <v>0.59999999999999998</v>
      </c>
      <c r="F3" s="306" t="s">
        <v>27</v>
      </c>
      <c r="G3" s="268" t="s">
        <v>590</v>
      </c>
      <c r="H3" s="292" t="s">
        <v>14</v>
      </c>
      <c r="I3" s="147" t="s">
        <v>15</v>
      </c>
    </row>
    <row r="4" ht="89.25" customHeight="1">
      <c r="A4" s="618"/>
      <c r="B4" s="394"/>
      <c r="C4" s="19">
        <v>2</v>
      </c>
      <c r="D4" s="243" t="s">
        <v>26</v>
      </c>
      <c r="E4" s="619">
        <v>0.16</v>
      </c>
      <c r="F4" s="263" t="s">
        <v>58</v>
      </c>
      <c r="G4" s="264" t="s">
        <v>591</v>
      </c>
      <c r="H4" s="292" t="s">
        <v>14</v>
      </c>
      <c r="I4" s="147" t="s">
        <v>15</v>
      </c>
    </row>
    <row r="5" ht="60" customHeight="1">
      <c r="A5" s="618"/>
      <c r="B5" s="394"/>
      <c r="C5" s="19">
        <v>3</v>
      </c>
      <c r="D5" s="243" t="s">
        <v>12</v>
      </c>
      <c r="E5" s="290">
        <v>0</v>
      </c>
      <c r="F5" s="290" t="s">
        <v>161</v>
      </c>
      <c r="G5" s="264" t="s">
        <v>592</v>
      </c>
      <c r="H5" s="292" t="s">
        <v>14</v>
      </c>
      <c r="I5" s="147" t="s">
        <v>15</v>
      </c>
    </row>
    <row r="6" ht="65.25" customHeight="1">
      <c r="A6" s="618"/>
      <c r="B6" s="394"/>
      <c r="C6" s="19">
        <v>4</v>
      </c>
      <c r="D6" s="260" t="s">
        <v>20</v>
      </c>
      <c r="E6" s="158">
        <v>0.22</v>
      </c>
      <c r="F6" s="263" t="s">
        <v>58</v>
      </c>
      <c r="G6" s="401" t="s">
        <v>593</v>
      </c>
      <c r="H6" s="292" t="s">
        <v>14</v>
      </c>
      <c r="I6" s="147" t="s">
        <v>15</v>
      </c>
    </row>
    <row r="7" ht="66" customHeight="1">
      <c r="A7" s="618"/>
      <c r="B7" s="394"/>
      <c r="C7" s="19">
        <v>5</v>
      </c>
      <c r="D7" s="27" t="s">
        <v>23</v>
      </c>
      <c r="E7" s="290">
        <v>0</v>
      </c>
      <c r="F7" s="290" t="s">
        <v>161</v>
      </c>
      <c r="G7" s="402" t="s">
        <v>164</v>
      </c>
      <c r="H7" s="292" t="s">
        <v>14</v>
      </c>
      <c r="I7" s="147" t="s">
        <v>15</v>
      </c>
    </row>
    <row r="8" ht="98.25" customHeight="1">
      <c r="A8" s="618"/>
      <c r="B8" s="394"/>
      <c r="C8" s="19">
        <v>6</v>
      </c>
      <c r="D8" s="243" t="s">
        <v>22</v>
      </c>
      <c r="E8" s="290">
        <v>0</v>
      </c>
      <c r="F8" s="290" t="s">
        <v>161</v>
      </c>
      <c r="G8" s="309" t="s">
        <v>594</v>
      </c>
      <c r="H8" s="292" t="s">
        <v>14</v>
      </c>
      <c r="I8" s="147" t="s">
        <v>15</v>
      </c>
    </row>
    <row r="9" ht="120" customHeight="1">
      <c r="A9" s="618"/>
      <c r="B9" s="394"/>
      <c r="C9" s="19">
        <v>7</v>
      </c>
      <c r="D9" s="243" t="s">
        <v>19</v>
      </c>
      <c r="E9" s="290">
        <v>0</v>
      </c>
      <c r="F9" s="290" t="s">
        <v>161</v>
      </c>
      <c r="G9" s="147" t="s">
        <v>595</v>
      </c>
      <c r="H9" s="292" t="s">
        <v>14</v>
      </c>
      <c r="I9" s="147" t="s">
        <v>15</v>
      </c>
    </row>
    <row r="10" ht="120" customHeight="1">
      <c r="A10" s="618"/>
      <c r="B10" s="394"/>
      <c r="C10" s="19">
        <v>8</v>
      </c>
      <c r="D10" s="261" t="s">
        <v>32</v>
      </c>
      <c r="E10" s="620" t="s">
        <v>250</v>
      </c>
      <c r="F10" s="19" t="s">
        <v>251</v>
      </c>
      <c r="G10" s="147" t="s">
        <v>284</v>
      </c>
      <c r="H10" s="229" t="s">
        <v>168</v>
      </c>
      <c r="I10" s="147" t="s">
        <v>15</v>
      </c>
    </row>
    <row r="11" ht="75">
      <c r="A11" s="621"/>
      <c r="B11" s="405"/>
      <c r="C11" s="156">
        <v>9</v>
      </c>
      <c r="D11" s="261" t="s">
        <v>17</v>
      </c>
      <c r="E11" s="622">
        <v>0</v>
      </c>
      <c r="F11" s="158" t="s">
        <v>58</v>
      </c>
      <c r="G11" s="147" t="s">
        <v>596</v>
      </c>
      <c r="H11" s="292" t="s">
        <v>14</v>
      </c>
      <c r="I11" s="147" t="s">
        <v>15</v>
      </c>
    </row>
    <row r="12" ht="15">
      <c r="A12" s="275"/>
      <c r="B12" s="275"/>
      <c r="C12" s="275"/>
      <c r="D12" s="275"/>
      <c r="E12" s="462">
        <f>(E3+E4+E5+E6+E7+E8+E9+E11)/8</f>
        <v>0.1225</v>
      </c>
      <c r="F12" s="275"/>
      <c r="G12" s="275"/>
      <c r="H12" s="275"/>
      <c r="I12" s="275"/>
    </row>
    <row r="13" ht="15">
      <c r="A13" s="302" t="s">
        <v>193</v>
      </c>
      <c r="B13" s="275"/>
      <c r="C13" s="275"/>
      <c r="D13" s="275"/>
      <c r="E13" s="275"/>
      <c r="F13" s="275"/>
      <c r="G13" s="275"/>
      <c r="H13" s="275"/>
      <c r="I13" s="275"/>
    </row>
    <row r="14" ht="15">
      <c r="A14" s="275"/>
      <c r="B14" s="275"/>
      <c r="C14" s="275"/>
      <c r="D14" s="275"/>
      <c r="E14" s="275"/>
      <c r="F14" s="275"/>
      <c r="G14" s="275"/>
      <c r="H14" s="275"/>
      <c r="I14" s="275"/>
    </row>
    <row r="15" ht="60.75" customHeight="1">
      <c r="A15" s="176" t="s">
        <v>597</v>
      </c>
      <c r="B15" s="168" t="s">
        <v>598</v>
      </c>
      <c r="C15" s="169"/>
      <c r="D15" s="170"/>
      <c r="E15" s="593">
        <v>0.12</v>
      </c>
      <c r="F15" s="361" t="s">
        <v>58</v>
      </c>
      <c r="G15" s="168" t="s">
        <v>599</v>
      </c>
      <c r="H15" s="169"/>
      <c r="I15" s="170"/>
    </row>
    <row r="16" ht="14.25">
      <c r="I16" s="215"/>
    </row>
    <row r="17" ht="15">
      <c r="A17" s="613" t="s">
        <v>600</v>
      </c>
      <c r="B17" s="614"/>
      <c r="C17" s="614"/>
      <c r="D17" s="614"/>
      <c r="E17" s="614"/>
      <c r="F17" s="614"/>
      <c r="G17" s="614"/>
      <c r="H17" s="614"/>
      <c r="I17" s="615"/>
    </row>
    <row r="18" ht="30">
      <c r="A18" s="525" t="s">
        <v>154</v>
      </c>
      <c r="B18" s="525" t="s">
        <v>127</v>
      </c>
      <c r="C18" s="525" t="s">
        <v>196</v>
      </c>
      <c r="D18" s="526" t="s">
        <v>155</v>
      </c>
      <c r="E18" s="527" t="s">
        <v>8</v>
      </c>
      <c r="F18" s="528"/>
      <c r="G18" s="526" t="s">
        <v>156</v>
      </c>
      <c r="H18" s="529" t="s">
        <v>230</v>
      </c>
      <c r="I18" s="223" t="s">
        <v>158</v>
      </c>
    </row>
    <row r="19" ht="148.5" customHeight="1">
      <c r="A19" s="623" t="s">
        <v>137</v>
      </c>
      <c r="B19" s="225" t="s">
        <v>138</v>
      </c>
      <c r="C19" s="19">
        <v>1</v>
      </c>
      <c r="D19" s="261" t="s">
        <v>173</v>
      </c>
      <c r="E19" s="624">
        <v>0.46999999999999997</v>
      </c>
      <c r="F19" s="354" t="s">
        <v>24</v>
      </c>
      <c r="G19" s="264" t="s">
        <v>601</v>
      </c>
      <c r="H19" s="147" t="s">
        <v>62</v>
      </c>
      <c r="I19" s="261" t="s">
        <v>66</v>
      </c>
    </row>
    <row r="20" ht="409.5">
      <c r="A20" s="625"/>
      <c r="B20" s="231"/>
      <c r="C20" s="19">
        <v>2</v>
      </c>
      <c r="D20" s="243" t="s">
        <v>211</v>
      </c>
      <c r="E20" s="513">
        <v>0.5</v>
      </c>
      <c r="F20" s="354" t="s">
        <v>24</v>
      </c>
      <c r="G20" s="264" t="s">
        <v>602</v>
      </c>
      <c r="H20" s="147" t="s">
        <v>62</v>
      </c>
      <c r="I20" s="261" t="s">
        <v>66</v>
      </c>
    </row>
    <row r="21" ht="57">
      <c r="A21" s="625"/>
      <c r="B21" s="231"/>
      <c r="C21" s="19">
        <v>3</v>
      </c>
      <c r="D21" s="243" t="s">
        <v>104</v>
      </c>
      <c r="E21" s="293">
        <v>0.69999999999999996</v>
      </c>
      <c r="F21" s="293" t="s">
        <v>27</v>
      </c>
      <c r="G21" s="600" t="s">
        <v>603</v>
      </c>
      <c r="H21" s="19" t="s">
        <v>62</v>
      </c>
      <c r="I21" s="261" t="s">
        <v>63</v>
      </c>
    </row>
    <row r="22" ht="85.5">
      <c r="A22" s="625"/>
      <c r="B22" s="231"/>
      <c r="C22" s="19">
        <v>4</v>
      </c>
      <c r="D22" s="243" t="s">
        <v>94</v>
      </c>
      <c r="E22" s="515">
        <v>0.25</v>
      </c>
      <c r="F22" s="515" t="s">
        <v>27</v>
      </c>
      <c r="G22" s="401" t="s">
        <v>604</v>
      </c>
      <c r="H22" s="19" t="s">
        <v>62</v>
      </c>
      <c r="I22" s="265" t="s">
        <v>66</v>
      </c>
    </row>
    <row r="23" ht="30">
      <c r="A23" s="625"/>
      <c r="B23" s="231"/>
      <c r="C23" s="19">
        <v>5</v>
      </c>
      <c r="D23" s="261" t="s">
        <v>65</v>
      </c>
      <c r="E23" s="290">
        <v>0</v>
      </c>
      <c r="F23" s="290" t="s">
        <v>174</v>
      </c>
      <c r="G23" s="309" t="s">
        <v>605</v>
      </c>
      <c r="H23" s="19" t="s">
        <v>62</v>
      </c>
      <c r="I23" s="229" t="s">
        <v>66</v>
      </c>
    </row>
    <row r="24" ht="42.75">
      <c r="A24" s="625"/>
      <c r="B24" s="231"/>
      <c r="C24" s="19">
        <v>6</v>
      </c>
      <c r="D24" s="243" t="s">
        <v>79</v>
      </c>
      <c r="E24" s="290">
        <v>0</v>
      </c>
      <c r="F24" s="290" t="s">
        <v>174</v>
      </c>
      <c r="G24" s="264" t="s">
        <v>606</v>
      </c>
      <c r="H24" s="19" t="s">
        <v>62</v>
      </c>
      <c r="I24" s="243" t="s">
        <v>63</v>
      </c>
    </row>
    <row r="25" ht="71.25">
      <c r="A25" s="625"/>
      <c r="B25" s="231"/>
      <c r="C25" s="19">
        <v>7</v>
      </c>
      <c r="D25" s="261" t="s">
        <v>100</v>
      </c>
      <c r="E25" s="626">
        <v>0.26000000000000001</v>
      </c>
      <c r="F25" s="327" t="s">
        <v>13</v>
      </c>
      <c r="G25" s="260" t="s">
        <v>607</v>
      </c>
      <c r="H25" s="19" t="s">
        <v>62</v>
      </c>
      <c r="I25" s="243" t="s">
        <v>63</v>
      </c>
    </row>
    <row r="26" ht="114">
      <c r="A26" s="625"/>
      <c r="B26" s="231"/>
      <c r="C26" s="311">
        <v>8</v>
      </c>
      <c r="D26" s="206" t="s">
        <v>90</v>
      </c>
      <c r="E26" s="19" t="s">
        <v>250</v>
      </c>
      <c r="F26" s="19" t="s">
        <v>251</v>
      </c>
      <c r="G26" s="205" t="s">
        <v>608</v>
      </c>
      <c r="H26" s="19" t="s">
        <v>62</v>
      </c>
      <c r="I26" s="243" t="s">
        <v>70</v>
      </c>
    </row>
    <row r="27" ht="57">
      <c r="A27" s="625"/>
      <c r="B27" s="231"/>
      <c r="C27" s="311">
        <v>9</v>
      </c>
      <c r="D27" s="206" t="s">
        <v>98</v>
      </c>
      <c r="E27" s="627">
        <v>0</v>
      </c>
      <c r="F27" s="627" t="s">
        <v>58</v>
      </c>
      <c r="G27" s="82" t="s">
        <v>609</v>
      </c>
      <c r="H27" s="19" t="s">
        <v>62</v>
      </c>
      <c r="I27" s="243" t="s">
        <v>70</v>
      </c>
    </row>
    <row r="28" ht="42.75">
      <c r="A28" s="625"/>
      <c r="B28" s="231"/>
      <c r="C28" s="311">
        <v>10</v>
      </c>
      <c r="D28" s="82" t="s">
        <v>82</v>
      </c>
      <c r="E28" s="290">
        <v>0</v>
      </c>
      <c r="F28" s="290" t="s">
        <v>174</v>
      </c>
      <c r="G28" s="82" t="s">
        <v>610</v>
      </c>
      <c r="H28" s="19" t="s">
        <v>62</v>
      </c>
      <c r="I28" s="243" t="s">
        <v>66</v>
      </c>
    </row>
    <row r="29" ht="85.5">
      <c r="A29" s="625"/>
      <c r="B29" s="231"/>
      <c r="C29" s="311">
        <v>11</v>
      </c>
      <c r="D29" s="82" t="s">
        <v>69</v>
      </c>
      <c r="E29" s="290">
        <v>0</v>
      </c>
      <c r="F29" s="290" t="s">
        <v>174</v>
      </c>
      <c r="G29" s="82"/>
      <c r="H29" s="19" t="s">
        <v>62</v>
      </c>
      <c r="I29" s="243" t="s">
        <v>70</v>
      </c>
    </row>
    <row r="30" ht="57">
      <c r="A30" s="625"/>
      <c r="B30" s="231"/>
      <c r="C30" s="311">
        <v>12</v>
      </c>
      <c r="D30" s="82" t="s">
        <v>61</v>
      </c>
      <c r="E30" s="290">
        <v>0</v>
      </c>
      <c r="F30" s="290" t="s">
        <v>174</v>
      </c>
      <c r="G30" s="205" t="s">
        <v>605</v>
      </c>
      <c r="H30" s="19" t="s">
        <v>62</v>
      </c>
      <c r="I30" s="243" t="s">
        <v>70</v>
      </c>
    </row>
    <row r="31" ht="30">
      <c r="A31" s="625"/>
      <c r="B31" s="231"/>
      <c r="C31" s="311">
        <v>13</v>
      </c>
      <c r="D31" s="82" t="s">
        <v>67</v>
      </c>
      <c r="E31" s="290">
        <v>0</v>
      </c>
      <c r="F31" s="290" t="s">
        <v>174</v>
      </c>
      <c r="G31" s="82" t="s">
        <v>162</v>
      </c>
      <c r="H31" s="19" t="s">
        <v>62</v>
      </c>
      <c r="I31" s="209" t="s">
        <v>66</v>
      </c>
    </row>
    <row r="32" ht="42.75">
      <c r="A32" s="625"/>
      <c r="B32" s="231"/>
      <c r="C32" s="311">
        <v>14</v>
      </c>
      <c r="D32" s="82" t="s">
        <v>85</v>
      </c>
      <c r="E32" s="290">
        <v>0</v>
      </c>
      <c r="F32" s="290" t="s">
        <v>174</v>
      </c>
      <c r="G32" s="82" t="s">
        <v>611</v>
      </c>
      <c r="H32" s="19" t="s">
        <v>62</v>
      </c>
      <c r="I32" s="209" t="s">
        <v>70</v>
      </c>
    </row>
    <row r="33" ht="57">
      <c r="A33" s="625"/>
      <c r="B33" s="231"/>
      <c r="C33" s="311">
        <v>15</v>
      </c>
      <c r="D33" s="82" t="s">
        <v>185</v>
      </c>
      <c r="E33" s="628">
        <v>0</v>
      </c>
      <c r="F33" s="627" t="s">
        <v>58</v>
      </c>
      <c r="G33" s="209" t="s">
        <v>612</v>
      </c>
      <c r="H33" s="19" t="s">
        <v>62</v>
      </c>
      <c r="I33" s="209" t="s">
        <v>63</v>
      </c>
    </row>
    <row r="34" ht="42.75">
      <c r="A34" s="625"/>
      <c r="B34" s="231"/>
      <c r="C34" s="311">
        <v>16</v>
      </c>
      <c r="D34" s="82" t="s">
        <v>72</v>
      </c>
      <c r="E34" s="290">
        <v>0</v>
      </c>
      <c r="F34" s="290" t="s">
        <v>174</v>
      </c>
      <c r="G34" s="209" t="s">
        <v>446</v>
      </c>
      <c r="H34" s="19" t="s">
        <v>62</v>
      </c>
      <c r="I34" s="209" t="s">
        <v>66</v>
      </c>
    </row>
    <row r="35" ht="57">
      <c r="A35" s="625"/>
      <c r="B35" s="231"/>
      <c r="C35" s="101">
        <v>17</v>
      </c>
      <c r="D35" s="82" t="s">
        <v>88</v>
      </c>
      <c r="E35" s="373">
        <v>0.29999999999999999</v>
      </c>
      <c r="F35" s="629" t="s">
        <v>13</v>
      </c>
      <c r="G35" s="82" t="s">
        <v>613</v>
      </c>
      <c r="H35" s="19" t="s">
        <v>62</v>
      </c>
      <c r="I35" s="209" t="s">
        <v>66</v>
      </c>
    </row>
    <row r="36" ht="57">
      <c r="A36" s="625"/>
      <c r="B36" s="231"/>
      <c r="C36" s="101">
        <v>18</v>
      </c>
      <c r="D36" s="82" t="s">
        <v>93</v>
      </c>
      <c r="E36" s="522">
        <v>0.080000000000000002</v>
      </c>
      <c r="F36" s="627" t="s">
        <v>58</v>
      </c>
      <c r="G36" s="205" t="s">
        <v>614</v>
      </c>
      <c r="H36" s="19" t="s">
        <v>62</v>
      </c>
      <c r="I36" s="209" t="s">
        <v>66</v>
      </c>
    </row>
    <row r="37" ht="57">
      <c r="A37" s="625"/>
      <c r="B37" s="231"/>
      <c r="C37" s="101">
        <v>19</v>
      </c>
      <c r="D37" s="82" t="s">
        <v>80</v>
      </c>
      <c r="E37" s="630">
        <v>0</v>
      </c>
      <c r="F37" s="290" t="s">
        <v>174</v>
      </c>
      <c r="G37" s="82" t="s">
        <v>615</v>
      </c>
      <c r="H37" s="19" t="s">
        <v>62</v>
      </c>
      <c r="I37" s="209" t="s">
        <v>70</v>
      </c>
    </row>
    <row r="38" ht="42.75">
      <c r="A38" s="625"/>
      <c r="B38" s="231"/>
      <c r="C38" s="101">
        <v>20</v>
      </c>
      <c r="D38" s="82" t="s">
        <v>91</v>
      </c>
      <c r="E38" s="630">
        <v>0</v>
      </c>
      <c r="F38" s="290" t="s">
        <v>174</v>
      </c>
      <c r="G38" s="82" t="s">
        <v>616</v>
      </c>
      <c r="H38" s="19" t="s">
        <v>62</v>
      </c>
      <c r="I38" s="209" t="s">
        <v>70</v>
      </c>
    </row>
    <row r="39" ht="28.5">
      <c r="A39" s="625"/>
      <c r="B39" s="231"/>
      <c r="C39" s="101">
        <v>21</v>
      </c>
      <c r="D39" s="82" t="s">
        <v>92</v>
      </c>
      <c r="E39" s="380">
        <v>0.85999999999999999</v>
      </c>
      <c r="F39" s="485" t="s">
        <v>30</v>
      </c>
      <c r="G39" s="82" t="s">
        <v>617</v>
      </c>
      <c r="H39" s="19" t="s">
        <v>62</v>
      </c>
      <c r="I39" s="209" t="s">
        <v>63</v>
      </c>
    </row>
    <row r="40" ht="57">
      <c r="A40" s="625"/>
      <c r="B40" s="231"/>
      <c r="C40" s="101">
        <v>22</v>
      </c>
      <c r="D40" s="82" t="s">
        <v>74</v>
      </c>
      <c r="E40" s="557">
        <v>0</v>
      </c>
      <c r="F40" s="458" t="s">
        <v>174</v>
      </c>
      <c r="G40" s="82" t="s">
        <v>618</v>
      </c>
      <c r="H40" s="19" t="s">
        <v>62</v>
      </c>
      <c r="I40" s="209" t="s">
        <v>63</v>
      </c>
    </row>
    <row r="41" ht="57">
      <c r="A41" s="625"/>
      <c r="B41" s="231"/>
      <c r="C41" s="311">
        <v>23</v>
      </c>
      <c r="D41" s="82" t="s">
        <v>84</v>
      </c>
      <c r="E41" s="522">
        <v>0</v>
      </c>
      <c r="F41" s="100" t="s">
        <v>58</v>
      </c>
      <c r="G41" s="205" t="s">
        <v>619</v>
      </c>
      <c r="H41" s="19" t="s">
        <v>62</v>
      </c>
      <c r="I41" s="209" t="s">
        <v>70</v>
      </c>
    </row>
    <row r="42" ht="156.75">
      <c r="A42" s="625"/>
      <c r="B42" s="231"/>
      <c r="C42" s="311">
        <v>24</v>
      </c>
      <c r="D42" s="82" t="s">
        <v>77</v>
      </c>
      <c r="E42" s="522">
        <v>0</v>
      </c>
      <c r="F42" s="100" t="s">
        <v>58</v>
      </c>
      <c r="G42" s="209" t="s">
        <v>620</v>
      </c>
      <c r="H42" s="19" t="s">
        <v>62</v>
      </c>
      <c r="I42" s="209" t="s">
        <v>70</v>
      </c>
    </row>
    <row r="43" ht="30">
      <c r="A43" s="625"/>
      <c r="B43" s="231"/>
      <c r="C43" s="311">
        <v>25</v>
      </c>
      <c r="D43" s="82" t="s">
        <v>76</v>
      </c>
      <c r="E43" s="557">
        <v>0</v>
      </c>
      <c r="F43" s="458" t="s">
        <v>174</v>
      </c>
      <c r="G43" s="68" t="s">
        <v>349</v>
      </c>
      <c r="H43" s="19" t="s">
        <v>62</v>
      </c>
      <c r="I43" s="209" t="s">
        <v>70</v>
      </c>
    </row>
    <row r="44" ht="256.5">
      <c r="A44" s="631"/>
      <c r="B44" s="244"/>
      <c r="C44" s="101">
        <v>26</v>
      </c>
      <c r="D44" s="206" t="s">
        <v>96</v>
      </c>
      <c r="E44" s="522">
        <v>0.20000000000000001</v>
      </c>
      <c r="F44" s="100" t="s">
        <v>58</v>
      </c>
      <c r="G44" s="206" t="s">
        <v>621</v>
      </c>
      <c r="H44" s="19" t="s">
        <v>62</v>
      </c>
      <c r="I44" s="206" t="s">
        <v>66</v>
      </c>
    </row>
    <row r="45" ht="14.25">
      <c r="E45" s="323">
        <f>(E19+E20+E21+E22+E23+E24+E25+E27+E28+E29+E30+E31+E32+E33+E34+E35+E36+E37+E38+E39+E40+E41+E42+E43+E44)/26</f>
        <v>0.13923076923076921</v>
      </c>
      <c r="I45" s="215"/>
    </row>
    <row r="46" ht="15">
      <c r="A46" s="302" t="s">
        <v>193</v>
      </c>
      <c r="B46" s="275"/>
      <c r="C46" s="275"/>
      <c r="D46" s="275"/>
      <c r="E46" s="275"/>
      <c r="F46" s="275"/>
      <c r="G46" s="275"/>
      <c r="H46" s="275"/>
      <c r="I46" s="275"/>
    </row>
    <row r="47" ht="15">
      <c r="A47" s="278"/>
      <c r="B47" s="278"/>
      <c r="C47" s="278"/>
      <c r="D47" s="278"/>
      <c r="E47" s="278"/>
      <c r="F47" s="278"/>
      <c r="G47" s="278"/>
      <c r="H47" s="278"/>
      <c r="I47" s="278"/>
    </row>
    <row r="48" ht="50.25" customHeight="1">
      <c r="A48" s="176" t="s">
        <v>597</v>
      </c>
      <c r="B48" s="168" t="s">
        <v>598</v>
      </c>
      <c r="C48" s="169"/>
      <c r="D48" s="170"/>
      <c r="E48" s="593">
        <v>0.14000000000000001</v>
      </c>
      <c r="F48" s="632" t="s">
        <v>58</v>
      </c>
      <c r="G48" s="72" t="s">
        <v>622</v>
      </c>
      <c r="H48" s="73"/>
      <c r="I48" s="74"/>
    </row>
    <row r="49" ht="14.25"/>
  </sheetData>
  <mergeCells count="10">
    <mergeCell ref="E2:F2"/>
    <mergeCell ref="A3:A11"/>
    <mergeCell ref="B3:B11"/>
    <mergeCell ref="B15:D15"/>
    <mergeCell ref="G15:I15"/>
    <mergeCell ref="E18:F18"/>
    <mergeCell ref="A19:A44"/>
    <mergeCell ref="B19:B44"/>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B200F0-002F-4923-B9C4-008E007F002F}">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260094-00AE-42EA-9D2C-0005007B007B}">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C60018-007C-407B-9AAB-0058007E00FD}">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D70051-0027-49A8-8192-007C00A300F0}">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89007C-009F-420E-A920-00AE00DF00A6}">
            <xm:f>NOT(ISERROR(SEARCH("Высокий уровень",D9)))</xm:f>
            <x14:dxf>
              <fill>
                <patternFill patternType="solid">
                  <fgColor rgb="FF70AD47"/>
                  <bgColor rgb="FF70AD47"/>
                </patternFill>
              </fill>
            </x14:dxf>
          </x14:cfRule>
          <xm:sqref>F15</xm:sqref>
        </x14:conditionalFormatting>
        <x14:conditionalFormatting xmlns:xm="http://schemas.microsoft.com/office/excel/2006/main">
          <x14:cfRule type="containsText" priority="6" text="Высокий уровень" id="{002C002B-00FF-492F-8EB2-006B0081001A}">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F000BE-0080-44FF-AF86-00670083007D}">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0700A3-00A4-4A61-BFCA-0053003A0023}">
            <xm:f>NOT(ISERROR(SEARCH("Высокий уровень",D9)))</xm:f>
            <x14:dxf>
              <fill>
                <patternFill patternType="solid">
                  <fgColor rgb="FF70AD47"/>
                  <bgColor rgb="FF70AD47"/>
                </patternFill>
              </fill>
            </x14:dxf>
          </x14:cfRule>
          <xm:sqref>F47</xm:sqref>
        </x14:conditionalFormatting>
        <x14:conditionalFormatting xmlns:xm="http://schemas.microsoft.com/office/excel/2006/main">
          <x14:cfRule type="containsText" priority="5" text="Выше среднего" id="{000A001A-004D-46F0-A020-00D100510083}">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01002A-003A-4984-A681-000F008500CE}">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3500AC-00B7-4512-AAD2-00F9009200BD}">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260059-00A3-44A3-AD2C-000000FF00F1}">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4600F0-00D1-4E77-AEA7-00B7002A00F5}">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5" text="Выше среднего" id="{00F600DB-006E-4739-B34C-004400FF0056}">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7C0047-005F-438B-8A6F-00B200D40000}">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E00028-0028-40EB-B682-00CE0048005E}">
            <xm:f>NOT(ISERROR(SEARCH("Выше среднего",D9)))</xm:f>
            <x14:dxf>
              <fill>
                <patternFill patternType="solid">
                  <fgColor rgb="FFA9D08D"/>
                  <bgColor rgb="FFA9D08D"/>
                </patternFill>
              </fill>
            </x14:dxf>
          </x14:cfRule>
          <xm:sqref>F47</xm:sqref>
        </x14:conditionalFormatting>
        <x14:conditionalFormatting xmlns:xm="http://schemas.microsoft.com/office/excel/2006/main">
          <x14:cfRule type="containsText" priority="4" text="Средний уровень" id="{00080010-00B6-47B1-B47C-00C600E00052}">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C300E4-00BE-48C2-9F36-00E2005400B5}">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54009A-001D-45F5-B070-00D500960092}">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E30031-007E-4B91-B462-005600690065}">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620018-00BD-40AD-B2D0-00AD00F7005E}">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4" text="Средний уровень" id="{004B0097-0034-44B8-9CB0-005000FA0011}">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EE0014-0003-4489-9D8D-0069006C00CA}">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4700E1-0070-42E8-8AEB-003F006A006C}">
            <xm:f>NOT(ISERROR(SEARCH("Средний уровень",D9)))</xm:f>
            <x14:dxf>
              <font>
                <color theme="1" tint="0"/>
              </font>
              <fill>
                <patternFill patternType="solid">
                  <fgColor indexed="5"/>
                  <bgColor indexed="5"/>
                </patternFill>
              </fill>
            </x14:dxf>
          </x14:cfRule>
          <xm:sqref>F47</xm:sqref>
        </x14:conditionalFormatting>
        <x14:conditionalFormatting xmlns:xm="http://schemas.microsoft.com/office/excel/2006/main">
          <x14:cfRule type="containsText" priority="3" text="Ниже среднего" id="{005D0076-006F-494C-B90D-0057008E0067}">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C4006D-00C8-46FA-A835-003100C60069}">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4600AD-0098-4ED9-AE0F-008400D60035}">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C30032-0024-475C-93B5-004300EC0002}">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61005C-004D-4DF8-816E-00D7008900B3}">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3" text="Ниже среднего" id="{008B00D1-00F0-4356-B96F-0083008E0013}">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F100E6-00F7-45EE-9BA1-004A005600C6}">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010002-000E-434E-9B25-00DC002900E3}">
            <xm:f>NOT(ISERROR(SEARCH("Ниже среднего",D9)))</xm:f>
            <x14:dxf>
              <fill>
                <patternFill patternType="solid">
                  <fgColor rgb="FFED7D31"/>
                  <bgColor rgb="FFED7D31"/>
                </patternFill>
              </fill>
            </x14:dxf>
          </x14:cfRule>
          <xm:sqref>F47</xm:sqref>
        </x14:conditionalFormatting>
        <x14:conditionalFormatting xmlns:xm="http://schemas.microsoft.com/office/excel/2006/main">
          <x14:cfRule type="containsText" priority="2" text="Низкий уровень" id="{003900F0-005C-4E26-9B0E-000000D90097}">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2B00CC-0017-4864-9C10-0046007400EA}">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F0004D-00B1-470D-8075-00CB0016006D}">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CE0029-0031-4C37-858B-002F002900DA}">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700069-004D-4686-93B7-005D0029000A}">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2" text="Низкий уровень" id="{00340051-007E-4EC7-9EEE-00B100AF00C1}">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A70092-00DD-46CD-92D8-0090001C0094}">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FE000B-00F9-4AF3-86A0-00D000C20006}">
            <xm:f>NOT(ISERROR(SEARCH("Низкий уровень",D9)))</xm:f>
            <x14:dxf>
              <fill>
                <patternFill patternType="solid">
                  <fgColor indexed="2"/>
                  <bgColor indexed="2"/>
                </patternFill>
              </fill>
            </x14:dxf>
          </x14:cfRule>
          <xm:sqref>F47</xm:sqref>
        </x14:conditionalFormatting>
        <x14:conditionalFormatting xmlns:xm="http://schemas.microsoft.com/office/excel/2006/main">
          <x14:cfRule type="containsText" priority="1" text="Невозможно измерить" id="{00770019-0098-44B6-BE29-002E00680023}">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DD0043-00EE-4249-93A4-009D00CB0047}">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B7007F-0012-4EB1-8B71-007F00D3000A}">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6B00C5-0000-4D48-AF39-00F5004F00D4}">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D30096-002E-4F8C-BD72-001400F40069}">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1" text="Невозможно измерить" id="{002D001F-0025-4B22-A730-00E2003400F9}">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850061-0083-40B1-99FD-0004009F00F8}">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BF0086-0012-4B56-B839-004C005600D2}">
            <xm:f>NOT(ISERROR(SEARCH("Невозможно измерить",D9)))</xm:f>
            <x14:dxf>
              <fill>
                <patternFill patternType="solid">
                  <fgColor rgb="FF7F7F7F"/>
                  <bgColor rgb="FF7F7F7F"/>
                </patternFill>
              </fill>
            </x14:dxf>
          </x14:cfRule>
          <xm:sqref>F47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5" zoomScale="100" workbookViewId="0">
      <selection activeCell="A1" activeCellId="0" sqref="A1"/>
    </sheetView>
  </sheetViews>
  <sheetFormatPr defaultRowHeight="14.25"/>
  <cols>
    <col customWidth="1" min="1" max="1" width="21.140625"/>
    <col customWidth="1" min="2" max="2" width="22.00390625"/>
    <col customWidth="1" min="3" max="3" width="8.57421875"/>
    <col customWidth="1" min="4" max="4" width="19.8515625"/>
    <col customWidth="1" min="5" max="5" width="10.140625"/>
    <col customWidth="1" min="6" max="6" width="18.57421875"/>
    <col customWidth="1" min="7" max="7" width="90.00390625"/>
    <col customWidth="1" min="9" max="9" style="215" width="23.00390625"/>
  </cols>
  <sheetData>
    <row r="1" ht="15">
      <c r="A1" s="633" t="s">
        <v>153</v>
      </c>
      <c r="B1" s="614"/>
      <c r="C1" s="614"/>
      <c r="D1" s="614"/>
      <c r="E1" s="614"/>
      <c r="F1" s="614"/>
      <c r="G1" s="614"/>
      <c r="H1" s="614"/>
      <c r="I1" s="615"/>
    </row>
    <row r="2" ht="46.5" customHeight="1">
      <c r="A2" s="525" t="s">
        <v>154</v>
      </c>
      <c r="B2" s="525" t="s">
        <v>127</v>
      </c>
      <c r="C2" s="525" t="s">
        <v>196</v>
      </c>
      <c r="D2" s="526" t="s">
        <v>155</v>
      </c>
      <c r="E2" s="527" t="s">
        <v>8</v>
      </c>
      <c r="F2" s="528"/>
      <c r="G2" s="560" t="s">
        <v>156</v>
      </c>
      <c r="H2" s="389" t="s">
        <v>230</v>
      </c>
      <c r="I2" s="388" t="s">
        <v>158</v>
      </c>
    </row>
    <row r="3" ht="57">
      <c r="A3" s="634" t="s">
        <v>137</v>
      </c>
      <c r="B3" s="635" t="s">
        <v>623</v>
      </c>
      <c r="C3" s="19">
        <v>1</v>
      </c>
      <c r="D3" s="261" t="s">
        <v>29</v>
      </c>
      <c r="E3" s="636">
        <v>0.90000000000000002</v>
      </c>
      <c r="F3" s="234" t="s">
        <v>30</v>
      </c>
      <c r="G3" s="347" t="s">
        <v>624</v>
      </c>
      <c r="H3" s="292" t="s">
        <v>14</v>
      </c>
      <c r="I3" s="147" t="s">
        <v>15</v>
      </c>
    </row>
    <row r="4" ht="71.25">
      <c r="A4" s="634"/>
      <c r="B4" s="635"/>
      <c r="C4" s="19">
        <v>2</v>
      </c>
      <c r="D4" s="261" t="s">
        <v>26</v>
      </c>
      <c r="E4" s="13" t="s">
        <v>250</v>
      </c>
      <c r="F4" s="147" t="s">
        <v>251</v>
      </c>
      <c r="G4" s="600" t="s">
        <v>625</v>
      </c>
      <c r="H4" s="292" t="s">
        <v>14</v>
      </c>
      <c r="I4" s="292" t="s">
        <v>15</v>
      </c>
    </row>
    <row r="5" ht="57">
      <c r="A5" s="634"/>
      <c r="B5" s="635"/>
      <c r="C5" s="19">
        <v>3</v>
      </c>
      <c r="D5" s="261" t="s">
        <v>12</v>
      </c>
      <c r="E5" s="544">
        <v>0</v>
      </c>
      <c r="F5" s="544" t="s">
        <v>626</v>
      </c>
      <c r="G5" s="264" t="s">
        <v>627</v>
      </c>
      <c r="H5" s="292" t="s">
        <v>14</v>
      </c>
      <c r="I5" s="292" t="s">
        <v>15</v>
      </c>
    </row>
    <row r="6" ht="57">
      <c r="A6" s="634"/>
      <c r="B6" s="635"/>
      <c r="C6" s="19">
        <v>4</v>
      </c>
      <c r="D6" s="260" t="s">
        <v>20</v>
      </c>
      <c r="E6" s="174">
        <v>0</v>
      </c>
      <c r="F6" s="174" t="s">
        <v>58</v>
      </c>
      <c r="G6" s="342" t="s">
        <v>628</v>
      </c>
      <c r="H6" s="292" t="s">
        <v>14</v>
      </c>
      <c r="I6" s="292" t="s">
        <v>15</v>
      </c>
    </row>
    <row r="7" ht="30">
      <c r="A7" s="634"/>
      <c r="B7" s="635"/>
      <c r="C7" s="19">
        <v>5</v>
      </c>
      <c r="D7" s="27" t="s">
        <v>23</v>
      </c>
      <c r="E7" s="544">
        <v>0</v>
      </c>
      <c r="F7" s="637" t="s">
        <v>626</v>
      </c>
      <c r="G7" s="347" t="s">
        <v>164</v>
      </c>
      <c r="H7" s="292" t="s">
        <v>14</v>
      </c>
      <c r="I7" s="292" t="s">
        <v>15</v>
      </c>
    </row>
    <row r="8" ht="71.25">
      <c r="A8" s="634"/>
      <c r="B8" s="635"/>
      <c r="C8" s="19">
        <v>6</v>
      </c>
      <c r="D8" s="261" t="s">
        <v>22</v>
      </c>
      <c r="E8" s="544">
        <v>0</v>
      </c>
      <c r="F8" s="544" t="s">
        <v>626</v>
      </c>
      <c r="G8" s="347" t="s">
        <v>629</v>
      </c>
      <c r="H8" s="292" t="s">
        <v>14</v>
      </c>
      <c r="I8" s="292" t="s">
        <v>15</v>
      </c>
    </row>
    <row r="9" ht="129.75" customHeight="1">
      <c r="A9" s="634"/>
      <c r="B9" s="635"/>
      <c r="C9" s="19">
        <v>7</v>
      </c>
      <c r="D9" s="261" t="s">
        <v>19</v>
      </c>
      <c r="E9" s="172">
        <v>1</v>
      </c>
      <c r="F9" s="638" t="s">
        <v>30</v>
      </c>
      <c r="G9" s="176" t="s">
        <v>630</v>
      </c>
      <c r="H9" s="292" t="s">
        <v>14</v>
      </c>
      <c r="I9" s="639" t="s">
        <v>15</v>
      </c>
    </row>
    <row r="10" ht="82.5" customHeight="1">
      <c r="A10" s="634"/>
      <c r="B10" s="635"/>
      <c r="C10" s="19">
        <v>8</v>
      </c>
      <c r="D10" s="347" t="s">
        <v>32</v>
      </c>
      <c r="E10" s="397">
        <v>0.88</v>
      </c>
      <c r="F10" s="638" t="s">
        <v>30</v>
      </c>
      <c r="G10" s="239" t="s">
        <v>631</v>
      </c>
      <c r="H10" s="239" t="s">
        <v>168</v>
      </c>
      <c r="I10" s="639" t="s">
        <v>15</v>
      </c>
    </row>
    <row r="11" s="349" customFormat="1" ht="60">
      <c r="A11" s="634"/>
      <c r="B11" s="635"/>
      <c r="C11" s="156">
        <v>9</v>
      </c>
      <c r="D11" s="594" t="s">
        <v>17</v>
      </c>
      <c r="E11" s="544">
        <v>0</v>
      </c>
      <c r="F11" s="544" t="s">
        <v>161</v>
      </c>
      <c r="G11" s="640" t="s">
        <v>632</v>
      </c>
      <c r="H11" s="641" t="s">
        <v>14</v>
      </c>
      <c r="I11" s="292" t="s">
        <v>15</v>
      </c>
      <c r="J11" s="349"/>
    </row>
    <row r="12" s="349" customFormat="1" ht="15">
      <c r="A12" s="642"/>
      <c r="B12" s="540"/>
      <c r="C12" s="275"/>
      <c r="D12" s="594"/>
      <c r="E12" s="643">
        <f>(E3+E5+E6+E7+E8+E9+E10+E11)/8</f>
        <v>0.34749999999999998</v>
      </c>
      <c r="F12" s="644"/>
      <c r="G12" s="640"/>
      <c r="H12" s="645"/>
      <c r="I12" s="590"/>
      <c r="J12" s="349"/>
    </row>
    <row r="13" s="349" customFormat="1" ht="14.25">
      <c r="A13" s="349"/>
      <c r="B13" s="349"/>
      <c r="C13" s="349"/>
      <c r="D13" s="349"/>
      <c r="E13" s="349"/>
      <c r="F13" s="349"/>
      <c r="G13" s="349"/>
      <c r="H13" s="349"/>
      <c r="I13" s="274"/>
      <c r="J13" s="349"/>
    </row>
    <row r="14" s="349" customFormat="1" ht="63" customHeight="1">
      <c r="A14" s="268" t="s">
        <v>597</v>
      </c>
      <c r="B14" s="168" t="s">
        <v>633</v>
      </c>
      <c r="C14" s="169"/>
      <c r="D14" s="170"/>
      <c r="E14" s="646">
        <v>0.34999999999999998</v>
      </c>
      <c r="F14" s="647" t="s">
        <v>13</v>
      </c>
      <c r="G14" s="168" t="s">
        <v>634</v>
      </c>
      <c r="H14" s="169"/>
      <c r="I14" s="170"/>
    </row>
    <row r="15" ht="14.25">
      <c r="I15" s="215"/>
    </row>
    <row r="16" ht="15">
      <c r="A16" s="633" t="s">
        <v>153</v>
      </c>
      <c r="B16" s="614"/>
      <c r="C16" s="614"/>
      <c r="D16" s="614"/>
      <c r="E16" s="614"/>
      <c r="F16" s="614"/>
      <c r="G16" s="614"/>
      <c r="H16" s="614"/>
      <c r="I16" s="615"/>
    </row>
    <row r="17" ht="30">
      <c r="A17" s="525" t="s">
        <v>154</v>
      </c>
      <c r="B17" s="525" t="s">
        <v>127</v>
      </c>
      <c r="C17" s="525" t="s">
        <v>196</v>
      </c>
      <c r="D17" s="526" t="s">
        <v>155</v>
      </c>
      <c r="E17" s="527" t="s">
        <v>8</v>
      </c>
      <c r="F17" s="528"/>
      <c r="G17" s="560" t="s">
        <v>156</v>
      </c>
      <c r="H17" s="389" t="s">
        <v>230</v>
      </c>
      <c r="I17" s="388" t="s">
        <v>158</v>
      </c>
    </row>
    <row r="18" ht="71.25">
      <c r="A18" s="648" t="s">
        <v>137</v>
      </c>
      <c r="B18" s="531" t="s">
        <v>623</v>
      </c>
      <c r="C18" s="554">
        <v>1</v>
      </c>
      <c r="D18" s="261" t="s">
        <v>173</v>
      </c>
      <c r="E18" s="649">
        <v>0</v>
      </c>
      <c r="F18" s="544" t="s">
        <v>161</v>
      </c>
      <c r="G18" s="347" t="s">
        <v>635</v>
      </c>
      <c r="H18" s="292" t="s">
        <v>62</v>
      </c>
      <c r="I18" s="229" t="s">
        <v>66</v>
      </c>
    </row>
    <row r="19" ht="99.75">
      <c r="A19" s="650"/>
      <c r="B19" s="534"/>
      <c r="C19" s="554">
        <v>2</v>
      </c>
      <c r="D19" s="261" t="s">
        <v>211</v>
      </c>
      <c r="E19" s="651">
        <v>1</v>
      </c>
      <c r="F19" s="392" t="s">
        <v>30</v>
      </c>
      <c r="G19" s="264" t="s">
        <v>636</v>
      </c>
      <c r="H19" s="292" t="s">
        <v>62</v>
      </c>
      <c r="I19" s="261" t="s">
        <v>66</v>
      </c>
    </row>
    <row r="20" ht="57">
      <c r="A20" s="650"/>
      <c r="B20" s="534"/>
      <c r="C20" s="554">
        <v>3</v>
      </c>
      <c r="D20" s="261" t="s">
        <v>104</v>
      </c>
      <c r="E20" s="263">
        <v>0.20000000000000001</v>
      </c>
      <c r="F20" s="263" t="s">
        <v>58</v>
      </c>
      <c r="G20" s="264" t="s">
        <v>637</v>
      </c>
      <c r="H20" s="19" t="s">
        <v>62</v>
      </c>
      <c r="I20" s="261" t="s">
        <v>63</v>
      </c>
    </row>
    <row r="21" ht="71.25">
      <c r="A21" s="650"/>
      <c r="B21" s="534"/>
      <c r="C21" s="554">
        <v>4</v>
      </c>
      <c r="D21" s="261" t="s">
        <v>94</v>
      </c>
      <c r="E21" s="280">
        <v>0</v>
      </c>
      <c r="F21" s="280" t="s">
        <v>58</v>
      </c>
      <c r="G21" s="401" t="s">
        <v>638</v>
      </c>
      <c r="H21" s="19" t="s">
        <v>62</v>
      </c>
      <c r="I21" s="265" t="s">
        <v>66</v>
      </c>
    </row>
    <row r="22" ht="42.75">
      <c r="A22" s="650"/>
      <c r="B22" s="534"/>
      <c r="C22" s="554">
        <v>5</v>
      </c>
      <c r="D22" s="261" t="s">
        <v>65</v>
      </c>
      <c r="E22" s="544">
        <v>0</v>
      </c>
      <c r="F22" s="544" t="s">
        <v>161</v>
      </c>
      <c r="G22" s="264" t="s">
        <v>639</v>
      </c>
      <c r="H22" s="19" t="s">
        <v>62</v>
      </c>
      <c r="I22" s="229" t="s">
        <v>66</v>
      </c>
    </row>
    <row r="23" ht="57">
      <c r="A23" s="650"/>
      <c r="B23" s="534"/>
      <c r="C23" s="554">
        <v>6</v>
      </c>
      <c r="D23" s="261" t="s">
        <v>79</v>
      </c>
      <c r="E23" s="544">
        <v>0</v>
      </c>
      <c r="F23" s="544" t="s">
        <v>161</v>
      </c>
      <c r="G23" s="347" t="s">
        <v>640</v>
      </c>
      <c r="H23" s="347" t="s">
        <v>62</v>
      </c>
      <c r="I23" s="243" t="s">
        <v>63</v>
      </c>
    </row>
    <row r="24" ht="71.25">
      <c r="A24" s="650"/>
      <c r="B24" s="534"/>
      <c r="C24" s="554">
        <v>7</v>
      </c>
      <c r="D24" s="206" t="s">
        <v>100</v>
      </c>
      <c r="E24" s="147" t="s">
        <v>250</v>
      </c>
      <c r="F24" s="147" t="s">
        <v>251</v>
      </c>
      <c r="G24" s="239" t="s">
        <v>641</v>
      </c>
      <c r="H24" s="347" t="s">
        <v>62</v>
      </c>
      <c r="I24" s="243" t="s">
        <v>63</v>
      </c>
    </row>
    <row r="25" ht="142.5">
      <c r="A25" s="650"/>
      <c r="B25" s="534"/>
      <c r="C25" s="554">
        <v>8</v>
      </c>
      <c r="D25" s="206" t="s">
        <v>90</v>
      </c>
      <c r="E25" s="280">
        <v>0</v>
      </c>
      <c r="F25" s="280" t="s">
        <v>58</v>
      </c>
      <c r="G25" s="239" t="s">
        <v>642</v>
      </c>
      <c r="H25" s="347" t="s">
        <v>62</v>
      </c>
      <c r="I25" s="243" t="s">
        <v>70</v>
      </c>
    </row>
    <row r="26" ht="57">
      <c r="A26" s="650"/>
      <c r="B26" s="534"/>
      <c r="C26" s="311">
        <v>9</v>
      </c>
      <c r="D26" s="82" t="s">
        <v>98</v>
      </c>
      <c r="E26" s="280">
        <v>0</v>
      </c>
      <c r="F26" s="280" t="s">
        <v>58</v>
      </c>
      <c r="G26" s="82" t="s">
        <v>643</v>
      </c>
      <c r="H26" s="347" t="s">
        <v>62</v>
      </c>
      <c r="I26" s="243" t="s">
        <v>70</v>
      </c>
    </row>
    <row r="27" ht="57">
      <c r="A27" s="650"/>
      <c r="B27" s="534"/>
      <c r="C27" s="311">
        <v>10</v>
      </c>
      <c r="D27" s="205" t="s">
        <v>82</v>
      </c>
      <c r="E27" s="544">
        <v>0</v>
      </c>
      <c r="F27" s="544" t="s">
        <v>161</v>
      </c>
      <c r="G27" s="82" t="s">
        <v>615</v>
      </c>
      <c r="H27" s="68"/>
      <c r="I27" s="243" t="s">
        <v>66</v>
      </c>
    </row>
    <row r="28" ht="99.75">
      <c r="A28" s="650"/>
      <c r="B28" s="534"/>
      <c r="C28" s="311">
        <v>11</v>
      </c>
      <c r="D28" s="82" t="s">
        <v>69</v>
      </c>
      <c r="E28" s="544">
        <v>0</v>
      </c>
      <c r="F28" s="544" t="s">
        <v>161</v>
      </c>
      <c r="G28" s="205" t="s">
        <v>183</v>
      </c>
      <c r="H28" s="347" t="s">
        <v>62</v>
      </c>
      <c r="I28" s="243" t="s">
        <v>70</v>
      </c>
    </row>
    <row r="29" ht="57">
      <c r="A29" s="650"/>
      <c r="B29" s="534"/>
      <c r="C29" s="311">
        <v>12</v>
      </c>
      <c r="D29" s="82" t="s">
        <v>61</v>
      </c>
      <c r="E29" s="544">
        <v>0</v>
      </c>
      <c r="F29" s="544" t="s">
        <v>161</v>
      </c>
      <c r="G29" s="205" t="s">
        <v>644</v>
      </c>
      <c r="H29" s="347" t="s">
        <v>62</v>
      </c>
      <c r="I29" s="243" t="s">
        <v>70</v>
      </c>
    </row>
    <row r="30" ht="30">
      <c r="A30" s="650"/>
      <c r="B30" s="534"/>
      <c r="C30" s="101">
        <v>13</v>
      </c>
      <c r="D30" s="82" t="s">
        <v>67</v>
      </c>
      <c r="E30" s="544">
        <v>0</v>
      </c>
      <c r="F30" s="544" t="s">
        <v>161</v>
      </c>
      <c r="G30" s="205" t="s">
        <v>162</v>
      </c>
      <c r="H30" s="347" t="s">
        <v>62</v>
      </c>
      <c r="I30" s="209" t="s">
        <v>66</v>
      </c>
    </row>
    <row r="31" ht="42.75">
      <c r="A31" s="650"/>
      <c r="B31" s="534"/>
      <c r="C31" s="101">
        <v>14</v>
      </c>
      <c r="D31" s="82" t="s">
        <v>85</v>
      </c>
      <c r="E31" s="544">
        <v>0</v>
      </c>
      <c r="F31" s="544" t="s">
        <v>161</v>
      </c>
      <c r="G31" s="205" t="s">
        <v>645</v>
      </c>
      <c r="H31" s="347" t="s">
        <v>62</v>
      </c>
      <c r="I31" s="209" t="s">
        <v>70</v>
      </c>
    </row>
    <row r="32" ht="85.5">
      <c r="A32" s="650"/>
      <c r="B32" s="534"/>
      <c r="C32" s="101">
        <v>15</v>
      </c>
      <c r="D32" s="82" t="s">
        <v>185</v>
      </c>
      <c r="E32" s="544">
        <v>0</v>
      </c>
      <c r="F32" s="544" t="s">
        <v>161</v>
      </c>
      <c r="G32" s="205" t="s">
        <v>645</v>
      </c>
      <c r="H32" s="19" t="s">
        <v>62</v>
      </c>
      <c r="I32" s="209" t="s">
        <v>63</v>
      </c>
    </row>
    <row r="33" ht="57">
      <c r="A33" s="650"/>
      <c r="B33" s="534"/>
      <c r="C33" s="101">
        <v>16</v>
      </c>
      <c r="D33" s="82" t="s">
        <v>72</v>
      </c>
      <c r="E33" s="544">
        <v>0</v>
      </c>
      <c r="F33" s="544" t="s">
        <v>161</v>
      </c>
      <c r="G33" s="205" t="s">
        <v>615</v>
      </c>
      <c r="H33" s="19" t="s">
        <v>62</v>
      </c>
      <c r="I33" s="209" t="s">
        <v>66</v>
      </c>
    </row>
    <row r="34" ht="42.75">
      <c r="A34" s="650"/>
      <c r="B34" s="534"/>
      <c r="C34" s="101">
        <v>17</v>
      </c>
      <c r="D34" s="82" t="s">
        <v>88</v>
      </c>
      <c r="E34" s="544">
        <v>0</v>
      </c>
      <c r="F34" s="544" t="s">
        <v>161</v>
      </c>
      <c r="G34" s="205" t="s">
        <v>635</v>
      </c>
      <c r="H34" s="19" t="s">
        <v>62</v>
      </c>
      <c r="I34" s="209" t="s">
        <v>66</v>
      </c>
    </row>
    <row r="35" ht="71.25">
      <c r="A35" s="650"/>
      <c r="B35" s="534"/>
      <c r="C35" s="101">
        <v>18</v>
      </c>
      <c r="D35" s="82" t="s">
        <v>93</v>
      </c>
      <c r="E35" s="280">
        <v>0</v>
      </c>
      <c r="F35" s="280" t="s">
        <v>58</v>
      </c>
      <c r="G35" s="205" t="s">
        <v>646</v>
      </c>
      <c r="H35" s="19" t="s">
        <v>62</v>
      </c>
      <c r="I35" s="209" t="s">
        <v>66</v>
      </c>
    </row>
    <row r="36" ht="57">
      <c r="A36" s="650"/>
      <c r="B36" s="534"/>
      <c r="C36" s="101">
        <v>19</v>
      </c>
      <c r="D36" s="82" t="s">
        <v>80</v>
      </c>
      <c r="E36" s="544">
        <v>0</v>
      </c>
      <c r="F36" s="544" t="s">
        <v>161</v>
      </c>
      <c r="G36" s="82" t="s">
        <v>615</v>
      </c>
      <c r="H36" s="19" t="s">
        <v>62</v>
      </c>
      <c r="I36" s="209" t="s">
        <v>70</v>
      </c>
    </row>
    <row r="37" ht="57">
      <c r="A37" s="650"/>
      <c r="B37" s="534"/>
      <c r="C37" s="101">
        <v>20</v>
      </c>
      <c r="D37" s="82" t="s">
        <v>91</v>
      </c>
      <c r="E37" s="544">
        <v>0</v>
      </c>
      <c r="F37" s="544" t="s">
        <v>161</v>
      </c>
      <c r="G37" s="82" t="s">
        <v>647</v>
      </c>
      <c r="H37" s="19" t="s">
        <v>62</v>
      </c>
      <c r="I37" s="209" t="s">
        <v>70</v>
      </c>
    </row>
    <row r="38" ht="57">
      <c r="A38" s="650"/>
      <c r="B38" s="534"/>
      <c r="C38" s="101">
        <v>21</v>
      </c>
      <c r="D38" s="82" t="s">
        <v>92</v>
      </c>
      <c r="E38" s="544">
        <v>0</v>
      </c>
      <c r="F38" s="544" t="s">
        <v>161</v>
      </c>
      <c r="G38" s="209" t="s">
        <v>189</v>
      </c>
      <c r="H38" s="19" t="s">
        <v>62</v>
      </c>
      <c r="I38" s="209" t="s">
        <v>63</v>
      </c>
    </row>
    <row r="39" ht="85.5">
      <c r="A39" s="650"/>
      <c r="B39" s="534"/>
      <c r="C39" s="101">
        <v>22</v>
      </c>
      <c r="D39" s="82" t="s">
        <v>74</v>
      </c>
      <c r="E39" s="544">
        <v>0</v>
      </c>
      <c r="F39" s="544" t="s">
        <v>161</v>
      </c>
      <c r="G39" s="205" t="s">
        <v>647</v>
      </c>
      <c r="H39" s="19" t="s">
        <v>62</v>
      </c>
      <c r="I39" s="209" t="s">
        <v>63</v>
      </c>
    </row>
    <row r="40" ht="85.5">
      <c r="A40" s="650"/>
      <c r="B40" s="534"/>
      <c r="C40" s="101">
        <v>23</v>
      </c>
      <c r="D40" s="82" t="s">
        <v>84</v>
      </c>
      <c r="E40" s="544">
        <v>0</v>
      </c>
      <c r="F40" s="544" t="s">
        <v>161</v>
      </c>
      <c r="G40" s="205" t="s">
        <v>645</v>
      </c>
      <c r="H40" s="19" t="s">
        <v>62</v>
      </c>
      <c r="I40" s="209" t="s">
        <v>70</v>
      </c>
    </row>
    <row r="41" ht="171">
      <c r="A41" s="650"/>
      <c r="B41" s="534"/>
      <c r="C41" s="68">
        <v>24</v>
      </c>
      <c r="D41" s="82" t="s">
        <v>77</v>
      </c>
      <c r="E41" s="544">
        <v>0</v>
      </c>
      <c r="F41" s="544" t="s">
        <v>161</v>
      </c>
      <c r="G41" s="205" t="s">
        <v>645</v>
      </c>
      <c r="H41" s="19" t="s">
        <v>62</v>
      </c>
      <c r="I41" s="209" t="s">
        <v>70</v>
      </c>
    </row>
    <row r="42" ht="42.75">
      <c r="A42" s="650"/>
      <c r="B42" s="534"/>
      <c r="C42" s="68">
        <v>25</v>
      </c>
      <c r="D42" s="82" t="s">
        <v>76</v>
      </c>
      <c r="E42" s="544">
        <v>0</v>
      </c>
      <c r="F42" s="544" t="s">
        <v>161</v>
      </c>
      <c r="G42" s="82" t="s">
        <v>615</v>
      </c>
      <c r="H42" s="19" t="s">
        <v>62</v>
      </c>
      <c r="I42" s="209" t="s">
        <v>70</v>
      </c>
    </row>
    <row r="43" ht="42.75">
      <c r="A43" s="652"/>
      <c r="B43" s="538"/>
      <c r="C43" s="68">
        <v>26</v>
      </c>
      <c r="D43" s="82" t="s">
        <v>96</v>
      </c>
      <c r="E43" s="544">
        <v>0</v>
      </c>
      <c r="F43" s="544" t="s">
        <v>161</v>
      </c>
      <c r="G43" s="68" t="s">
        <v>648</v>
      </c>
      <c r="H43" s="19" t="s">
        <v>62</v>
      </c>
      <c r="I43" s="209" t="s">
        <v>66</v>
      </c>
    </row>
    <row r="44" ht="14.25">
      <c r="E44" s="323">
        <f>(E18+E19+E20+E21+E22+E23+E25+E26+E27+E28+E29+E30+E31+E32+E33+E34+E35+E36+E37+E38+E39+E40+E41+E42+E43)/26</f>
        <v>0.046153846153846149</v>
      </c>
      <c r="I44" s="215"/>
    </row>
    <row r="45" ht="17.25" customHeight="1">
      <c r="A45" s="251" t="s">
        <v>193</v>
      </c>
      <c r="B45" s="349"/>
      <c r="C45" s="349"/>
      <c r="D45" s="349"/>
      <c r="E45" s="349"/>
      <c r="F45" s="349"/>
      <c r="G45" s="349"/>
      <c r="H45" s="349"/>
      <c r="I45" s="274"/>
    </row>
    <row r="46" ht="15">
      <c r="A46" s="383"/>
      <c r="B46" s="383"/>
      <c r="C46" s="383"/>
      <c r="D46" s="383"/>
      <c r="E46" s="383"/>
      <c r="F46" s="383"/>
      <c r="G46" s="383"/>
      <c r="H46" s="383"/>
      <c r="I46" s="277"/>
    </row>
    <row r="47" ht="57.75" customHeight="1">
      <c r="A47" s="268" t="s">
        <v>597</v>
      </c>
      <c r="B47" s="168" t="s">
        <v>633</v>
      </c>
      <c r="C47" s="169"/>
      <c r="D47" s="170"/>
      <c r="E47" s="653" t="s">
        <v>250</v>
      </c>
      <c r="F47" s="647" t="s">
        <v>251</v>
      </c>
      <c r="G47" s="168" t="s">
        <v>649</v>
      </c>
      <c r="H47" s="169"/>
      <c r="I47" s="170"/>
    </row>
    <row r="48" ht="14.25"/>
  </sheetData>
  <mergeCells count="10">
    <mergeCell ref="E2:F2"/>
    <mergeCell ref="A3:A11"/>
    <mergeCell ref="B3:B11"/>
    <mergeCell ref="B14:D14"/>
    <mergeCell ref="G14:I14"/>
    <mergeCell ref="E17:F17"/>
    <mergeCell ref="A18:A43"/>
    <mergeCell ref="B18:B43"/>
    <mergeCell ref="B47:D47"/>
    <mergeCell ref="G47:I4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C20065-0075-45C9-90F7-00DE009B0006}">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6500F8-0023-466C-9407-0004004700A9}">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ше среднего" id="{005300F8-006F-4A80-B455-000E00FD00C2}">
            <xm:f>NOT(ISERROR(SEARCH("Выше среднего",D9)))</xm:f>
            <x14:dxf>
              <fill>
                <patternFill patternType="solid">
                  <fgColor rgb="FFA9D08D"/>
                  <bgColor rgb="FFA9D08D"/>
                </patternFill>
              </fill>
            </x14:dxf>
          </x14:cfRule>
          <xm:sqref>F15</xm:sqref>
        </x14:conditionalFormatting>
        <x14:conditionalFormatting xmlns:xm="http://schemas.microsoft.com/office/excel/2006/main">
          <x14:cfRule type="containsText" priority="6" text="Высокий уровень" id="{005D00DB-00F4-4757-AE11-006E004500C5}">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D8001A-0054-422F-916D-00EF00BA008F}">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04006D-009C-4442-8A22-00A3001E009C}">
            <xm:f>NOT(ISERROR(SEARCH("Высокий уровень",D9)))</xm:f>
            <x14:dxf>
              <fill>
                <patternFill patternType="solid">
                  <fgColor rgb="FF70AD47"/>
                  <bgColor rgb="FF70AD47"/>
                </patternFill>
              </fill>
            </x14:dxf>
          </x14:cfRule>
          <xm:sqref>F45</xm:sqref>
        </x14:conditionalFormatting>
        <x14:conditionalFormatting xmlns:xm="http://schemas.microsoft.com/office/excel/2006/main">
          <x14:cfRule type="containsText" priority="6" text="Высокий уровень" id="{00B1006C-0070-45EB-89C6-0078007C0099}">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5E0069-00A8-48CF-8E91-00CD00DA00B5}">
            <xm:f>NOT(ISERROR(SEARCH("Высокий уровень",D9)))</xm:f>
            <x14:dxf>
              <fill>
                <patternFill patternType="solid">
                  <fgColor rgb="FF70AD47"/>
                  <bgColor rgb="FF70AD47"/>
                </patternFill>
              </fill>
            </x14:dxf>
          </x14:cfRule>
          <xm:sqref>F46</xm:sqref>
        </x14:conditionalFormatting>
        <x14:conditionalFormatting xmlns:xm="http://schemas.microsoft.com/office/excel/2006/main">
          <x14:cfRule type="containsText" priority="6" text="Высокий уровень" id="{00490069-00D1-48AD-A1C7-00B700580062}">
            <xm:f>NOT(ISERROR(SEARCH("Высокий уровень",D9)))</xm:f>
            <x14:dxf>
              <fill>
                <patternFill patternType="solid">
                  <fgColor rgb="FF70AD47"/>
                  <bgColor rgb="FF70AD47"/>
                </patternFill>
              </fill>
            </x14:dxf>
          </x14:cfRule>
          <xm:sqref>F47</xm:sqref>
        </x14:conditionalFormatting>
        <x14:conditionalFormatting xmlns:xm="http://schemas.microsoft.com/office/excel/2006/main">
          <x14:cfRule type="containsText" priority="6" text="Высокий уровень" id="{00420036-00BF-4CA9-A064-0051000D00F0}">
            <xm:f>NOT(ISERROR(SEARCH("Высокий уровень",D9)))</xm:f>
            <x14:dxf>
              <fill>
                <patternFill patternType="solid">
                  <fgColor rgb="FF70AD47"/>
                  <bgColor rgb="FF70AD47"/>
                </patternFill>
              </fill>
            </x14:dxf>
          </x14:cfRule>
          <xm:sqref>F47</xm:sqref>
        </x14:conditionalFormatting>
        <x14:conditionalFormatting xmlns:xm="http://schemas.microsoft.com/office/excel/2006/main">
          <x14:cfRule type="containsText" priority="5" text="Выше среднего" id="{00D400D7-00C8-421F-B336-005B00AE003B}">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AF00D0-004A-4E4D-9176-00E100A400A2}">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Средний уровень" id="{00480099-00AA-4058-90E9-0041008700A3}">
            <xm:f>NOT(ISERROR(SEARCH("Средний уровень",D9)))</xm:f>
            <x14:dxf>
              <font>
                <color theme="1" tint="0"/>
              </font>
              <fill>
                <patternFill patternType="solid">
                  <fgColor indexed="5"/>
                  <bgColor indexed="5"/>
                </patternFill>
              </fill>
            </x14:dxf>
          </x14:cfRule>
          <xm:sqref>F15</xm:sqref>
        </x14:conditionalFormatting>
        <x14:conditionalFormatting xmlns:xm="http://schemas.microsoft.com/office/excel/2006/main">
          <x14:cfRule type="containsText" priority="5" text="Выше среднего" id="{00E400A2-00B1-45A9-B997-007A00EA00B7}">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680053-00E2-49C6-AC1D-000B00FE005F}">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210083-00AA-417E-8F36-00DA00340087}">
            <xm:f>NOT(ISERROR(SEARCH("Выше среднего",D9)))</xm:f>
            <x14:dxf>
              <fill>
                <patternFill patternType="solid">
                  <fgColor rgb="FFA9D08D"/>
                  <bgColor rgb="FFA9D08D"/>
                </patternFill>
              </fill>
            </x14:dxf>
          </x14:cfRule>
          <xm:sqref>F45</xm:sqref>
        </x14:conditionalFormatting>
        <x14:conditionalFormatting xmlns:xm="http://schemas.microsoft.com/office/excel/2006/main">
          <x14:cfRule type="containsText" priority="5" text="Выше среднего" id="{002600D2-000A-4B6F-9E4D-007100C40031}">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5D0083-0029-4BFD-A1A3-0087004C00F5}">
            <xm:f>NOT(ISERROR(SEARCH("Выше среднего",D9)))</xm:f>
            <x14:dxf>
              <fill>
                <patternFill patternType="solid">
                  <fgColor rgb="FFA9D08D"/>
                  <bgColor rgb="FFA9D08D"/>
                </patternFill>
              </fill>
            </x14:dxf>
          </x14:cfRule>
          <xm:sqref>F46</xm:sqref>
        </x14:conditionalFormatting>
        <x14:conditionalFormatting xmlns:xm="http://schemas.microsoft.com/office/excel/2006/main">
          <x14:cfRule type="containsText" priority="5" text="Выше среднего" id="{00F70056-002E-4370-B2C9-00DB008E0027}">
            <xm:f>NOT(ISERROR(SEARCH("Выше среднего",D9)))</xm:f>
            <x14:dxf>
              <fill>
                <patternFill patternType="solid">
                  <fgColor rgb="FFA9D08D"/>
                  <bgColor rgb="FFA9D08D"/>
                </patternFill>
              </fill>
            </x14:dxf>
          </x14:cfRule>
          <xm:sqref>F47</xm:sqref>
        </x14:conditionalFormatting>
        <x14:conditionalFormatting xmlns:xm="http://schemas.microsoft.com/office/excel/2006/main">
          <x14:cfRule type="containsText" priority="5" text="Выше среднего" id="{000B0002-004F-4DDA-82F0-00CB00300062}">
            <xm:f>NOT(ISERROR(SEARCH("Выше среднего",D9)))</xm:f>
            <x14:dxf>
              <fill>
                <patternFill patternType="solid">
                  <fgColor rgb="FFA9D08D"/>
                  <bgColor rgb="FFA9D08D"/>
                </patternFill>
              </fill>
            </x14:dxf>
          </x14:cfRule>
          <xm:sqref>F47</xm:sqref>
        </x14:conditionalFormatting>
        <x14:conditionalFormatting xmlns:xm="http://schemas.microsoft.com/office/excel/2006/main">
          <x14:cfRule type="containsText" priority="4" text="Средний уровень" id="{007300A9-0066-417E-99F5-009400740013}">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81000D-0095-4259-80DB-0012003000B3}">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Ниже среднего" id="{007A008B-00C4-4F17-8136-006E00E90023}">
            <xm:f>NOT(ISERROR(SEARCH("Ниже среднего",D9)))</xm:f>
            <x14:dxf>
              <fill>
                <patternFill patternType="solid">
                  <fgColor rgb="FFED7D31"/>
                  <bgColor rgb="FFED7D31"/>
                </patternFill>
              </fill>
            </x14:dxf>
          </x14:cfRule>
          <xm:sqref>F15</xm:sqref>
        </x14:conditionalFormatting>
        <x14:conditionalFormatting xmlns:xm="http://schemas.microsoft.com/office/excel/2006/main">
          <x14:cfRule type="containsText" priority="4" text="Средний уровень" id="{00B900D9-005D-43A5-AD66-005B005600F4}">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8700C3-00E4-4CD4-9617-003B006E00D1}">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8D00EF-0045-4B6A-A69A-003800D50014}">
            <xm:f>NOT(ISERROR(SEARCH("Средний уровень",D9)))</xm:f>
            <x14:dxf>
              <font>
                <color theme="1" tint="0"/>
              </font>
              <fill>
                <patternFill patternType="solid">
                  <fgColor indexed="5"/>
                  <bgColor indexed="5"/>
                </patternFill>
              </fill>
            </x14:dxf>
          </x14:cfRule>
          <xm:sqref>F45</xm:sqref>
        </x14:conditionalFormatting>
        <x14:conditionalFormatting xmlns:xm="http://schemas.microsoft.com/office/excel/2006/main">
          <x14:cfRule type="containsText" priority="4" text="Средний уровень" id="{001600C0-00AC-4622-BBE8-0021005D002E}">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4A0061-00BE-4078-8B2D-00E5001B0002}">
            <xm:f>NOT(ISERROR(SEARCH("Средний уровень",D9)))</xm:f>
            <x14:dxf>
              <font>
                <color theme="1" tint="0"/>
              </font>
              <fill>
                <patternFill patternType="solid">
                  <fgColor indexed="5"/>
                  <bgColor indexed="5"/>
                </patternFill>
              </fill>
            </x14:dxf>
          </x14:cfRule>
          <xm:sqref>F46</xm:sqref>
        </x14:conditionalFormatting>
        <x14:conditionalFormatting xmlns:xm="http://schemas.microsoft.com/office/excel/2006/main">
          <x14:cfRule type="containsText" priority="4" text="Средний уровень" id="{00950088-005D-4E81-8355-009A009C002C}">
            <xm:f>NOT(ISERROR(SEARCH("Средний уровень",D9)))</xm:f>
            <x14:dxf>
              <font>
                <color theme="1" tint="0"/>
              </font>
              <fill>
                <patternFill patternType="solid">
                  <fgColor indexed="5"/>
                  <bgColor indexed="5"/>
                </patternFill>
              </fill>
            </x14:dxf>
          </x14:cfRule>
          <xm:sqref>F47</xm:sqref>
        </x14:conditionalFormatting>
        <x14:conditionalFormatting xmlns:xm="http://schemas.microsoft.com/office/excel/2006/main">
          <x14:cfRule type="containsText" priority="4" text="Средний уровень" id="{0034002B-00F2-4706-84E6-000300C00033}">
            <xm:f>NOT(ISERROR(SEARCH("Средний уровень",D9)))</xm:f>
            <x14:dxf>
              <font>
                <color theme="1" tint="0"/>
              </font>
              <fill>
                <patternFill patternType="solid">
                  <fgColor indexed="5"/>
                  <bgColor indexed="5"/>
                </patternFill>
              </fill>
            </x14:dxf>
          </x14:cfRule>
          <xm:sqref>F47</xm:sqref>
        </x14:conditionalFormatting>
        <x14:conditionalFormatting xmlns:xm="http://schemas.microsoft.com/office/excel/2006/main">
          <x14:cfRule type="containsText" priority="3" text="Ниже среднего" id="{00FA0088-003A-46F8-991E-007A004C0050}">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580018-0003-422C-95EC-00A2006D0055}">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зкий уровень" id="{004200B6-00E2-470F-90EA-005900B200A0}">
            <xm:f>NOT(ISERROR(SEARCH("Низкий уровень",D9)))</xm:f>
            <x14:dxf>
              <fill>
                <patternFill patternType="solid">
                  <fgColor indexed="2"/>
                  <bgColor indexed="2"/>
                </patternFill>
              </fill>
            </x14:dxf>
          </x14:cfRule>
          <xm:sqref>F15</xm:sqref>
        </x14:conditionalFormatting>
        <x14:conditionalFormatting xmlns:xm="http://schemas.microsoft.com/office/excel/2006/main">
          <x14:cfRule type="containsText" priority="3" text="Ниже среднего" id="{00FC00DD-000B-4BAC-AD4D-00E000BA00A2}">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E70049-00F7-4692-9904-006E00570057}">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8F00E9-00CD-4BEF-A6C4-00B500EC0064}">
            <xm:f>NOT(ISERROR(SEARCH("Ниже среднего",D9)))</xm:f>
            <x14:dxf>
              <fill>
                <patternFill patternType="solid">
                  <fgColor rgb="FFED7D31"/>
                  <bgColor rgb="FFED7D31"/>
                </patternFill>
              </fill>
            </x14:dxf>
          </x14:cfRule>
          <xm:sqref>F45</xm:sqref>
        </x14:conditionalFormatting>
        <x14:conditionalFormatting xmlns:xm="http://schemas.microsoft.com/office/excel/2006/main">
          <x14:cfRule type="containsText" priority="3" text="Ниже среднего" id="{00C700D1-0067-4124-B59D-00B00042007F}">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1300CA-004C-40BC-A75E-006F00B10021}">
            <xm:f>NOT(ISERROR(SEARCH("Ниже среднего",D9)))</xm:f>
            <x14:dxf>
              <fill>
                <patternFill patternType="solid">
                  <fgColor rgb="FFED7D31"/>
                  <bgColor rgb="FFED7D31"/>
                </patternFill>
              </fill>
            </x14:dxf>
          </x14:cfRule>
          <xm:sqref>F46</xm:sqref>
        </x14:conditionalFormatting>
        <x14:conditionalFormatting xmlns:xm="http://schemas.microsoft.com/office/excel/2006/main">
          <x14:cfRule type="containsText" priority="3" text="Ниже среднего" id="{0094001D-00AC-402F-8610-0062003800A4}">
            <xm:f>NOT(ISERROR(SEARCH("Ниже среднего",D9)))</xm:f>
            <x14:dxf>
              <fill>
                <patternFill patternType="solid">
                  <fgColor rgb="FFED7D31"/>
                  <bgColor rgb="FFED7D31"/>
                </patternFill>
              </fill>
            </x14:dxf>
          </x14:cfRule>
          <xm:sqref>F47</xm:sqref>
        </x14:conditionalFormatting>
        <x14:conditionalFormatting xmlns:xm="http://schemas.microsoft.com/office/excel/2006/main">
          <x14:cfRule type="containsText" priority="3" text="Ниже среднего" id="{00200017-000D-4AA0-AF5D-002400D30098}">
            <xm:f>NOT(ISERROR(SEARCH("Ниже среднего",D9)))</xm:f>
            <x14:dxf>
              <fill>
                <patternFill patternType="solid">
                  <fgColor rgb="FFED7D31"/>
                  <bgColor rgb="FFED7D31"/>
                </patternFill>
              </fill>
            </x14:dxf>
          </x14:cfRule>
          <xm:sqref>F47</xm:sqref>
        </x14:conditionalFormatting>
        <x14:conditionalFormatting xmlns:xm="http://schemas.microsoft.com/office/excel/2006/main">
          <x14:cfRule type="containsText" priority="2" text="Низкий уровень" id="{004F003B-0080-4D2E-8B2E-00AF00C70050}">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9B0002-00E7-47F7-B3A4-001D00AB0032}">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евозможно измерить" id="{00A800E3-00EF-4110-9D46-00D10064001F}">
            <xm:f>NOT(ISERROR(SEARCH("Невозможно измерить",D9)))</xm:f>
            <x14:dxf>
              <fill>
                <patternFill patternType="solid">
                  <fgColor rgb="FF7F7F7F"/>
                  <bgColor rgb="FF7F7F7F"/>
                </patternFill>
              </fill>
            </x14:dxf>
          </x14:cfRule>
          <xm:sqref>F15</xm:sqref>
        </x14:conditionalFormatting>
        <x14:conditionalFormatting xmlns:xm="http://schemas.microsoft.com/office/excel/2006/main">
          <x14:cfRule type="containsText" priority="2" text="Низкий уровень" id="{00650082-0047-4F15-A24F-0030000700C2}">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E4008C-0015-4DB2-A667-00D90031000E}">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B00053-00D4-4F90-825F-00D200A900C0}">
            <xm:f>NOT(ISERROR(SEARCH("Низкий уровень",D9)))</xm:f>
            <x14:dxf>
              <fill>
                <patternFill patternType="solid">
                  <fgColor indexed="2"/>
                  <bgColor indexed="2"/>
                </patternFill>
              </fill>
            </x14:dxf>
          </x14:cfRule>
          <xm:sqref>F45</xm:sqref>
        </x14:conditionalFormatting>
        <x14:conditionalFormatting xmlns:xm="http://schemas.microsoft.com/office/excel/2006/main">
          <x14:cfRule type="containsText" priority="2" text="Низкий уровень" id="{00D500F2-00E2-4E13-98A1-00FF00240039}">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770063-00BA-4969-A866-0038002200E9}">
            <xm:f>NOT(ISERROR(SEARCH("Низкий уровень",D9)))</xm:f>
            <x14:dxf>
              <fill>
                <patternFill patternType="solid">
                  <fgColor indexed="2"/>
                  <bgColor indexed="2"/>
                </patternFill>
              </fill>
            </x14:dxf>
          </x14:cfRule>
          <xm:sqref>F46</xm:sqref>
        </x14:conditionalFormatting>
        <x14:conditionalFormatting xmlns:xm="http://schemas.microsoft.com/office/excel/2006/main">
          <x14:cfRule type="containsText" priority="2" text="Низкий уровень" id="{00120082-0041-4652-B646-00B4003D00EC}">
            <xm:f>NOT(ISERROR(SEARCH("Низкий уровень",D9)))</xm:f>
            <x14:dxf>
              <fill>
                <patternFill patternType="solid">
                  <fgColor indexed="2"/>
                  <bgColor indexed="2"/>
                </patternFill>
              </fill>
            </x14:dxf>
          </x14:cfRule>
          <xm:sqref>F47</xm:sqref>
        </x14:conditionalFormatting>
        <x14:conditionalFormatting xmlns:xm="http://schemas.microsoft.com/office/excel/2006/main">
          <x14:cfRule type="containsText" priority="2" text="Низкий уровень" id="{0062002B-001C-4729-8704-00C9005400EA}">
            <xm:f>NOT(ISERROR(SEARCH("Низкий уровень",D9)))</xm:f>
            <x14:dxf>
              <fill>
                <patternFill patternType="solid">
                  <fgColor indexed="2"/>
                  <bgColor indexed="2"/>
                </patternFill>
              </fill>
            </x14:dxf>
          </x14:cfRule>
          <xm:sqref>F47</xm:sqref>
        </x14:conditionalFormatting>
        <x14:conditionalFormatting xmlns:xm="http://schemas.microsoft.com/office/excel/2006/main">
          <x14:cfRule type="containsText" priority="1" text="Невозможно измерить" id="{00F5002A-009D-4E0C-A1FA-00AB002A0041}">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0800A0-0057-431C-AA85-00F4006200BF}">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8000F8-0028-4795-8A7E-00A600540094}">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1F0008-0026-4DDE-974B-00FB00C2007D}">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100051-009E-4A51-A814-007400B30050}">
            <xm:f>NOT(ISERROR(SEARCH("Невозможно измерить",D9)))</xm:f>
            <x14:dxf>
              <fill>
                <patternFill patternType="solid">
                  <fgColor rgb="FF7F7F7F"/>
                  <bgColor rgb="FF7F7F7F"/>
                </patternFill>
              </fill>
            </x14:dxf>
          </x14:cfRule>
          <xm:sqref>F45</xm:sqref>
        </x14:conditionalFormatting>
        <x14:conditionalFormatting xmlns:xm="http://schemas.microsoft.com/office/excel/2006/main">
          <x14:cfRule type="containsText" priority="1" text="Невозможно измерить" id="{00310025-00D9-479D-85C7-003900450000}">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710043-0010-4AF4-BB00-001800CB002D}">
            <xm:f>NOT(ISERROR(SEARCH("Невозможно измерить",D9)))</xm:f>
            <x14:dxf>
              <fill>
                <patternFill patternType="solid">
                  <fgColor rgb="FF7F7F7F"/>
                  <bgColor rgb="FF7F7F7F"/>
                </patternFill>
              </fill>
            </x14:dxf>
          </x14:cfRule>
          <xm:sqref>F46</xm:sqref>
        </x14:conditionalFormatting>
        <x14:conditionalFormatting xmlns:xm="http://schemas.microsoft.com/office/excel/2006/main">
          <x14:cfRule type="containsText" priority="1" text="Невозможно измерить" id="{00B400D0-001F-4464-B6F9-0017003E00D2}">
            <xm:f>NOT(ISERROR(SEARCH("Невозможно измерить",D9)))</xm:f>
            <x14:dxf>
              <fill>
                <patternFill patternType="solid">
                  <fgColor rgb="FF7F7F7F"/>
                  <bgColor rgb="FF7F7F7F"/>
                </patternFill>
              </fill>
            </x14:dxf>
          </x14:cfRule>
          <xm:sqref>F47</xm:sqref>
        </x14:conditionalFormatting>
        <x14:conditionalFormatting xmlns:xm="http://schemas.microsoft.com/office/excel/2006/main">
          <x14:cfRule type="containsText" priority="1" text="Невозможно измерить" id="{00E20034-0061-43E2-8901-0010004400D2}">
            <xm:f>NOT(ISERROR(SEARCH("Невозможно измерить",D9)))</xm:f>
            <x14:dxf>
              <fill>
                <patternFill patternType="solid">
                  <fgColor rgb="FF7F7F7F"/>
                  <bgColor rgb="FF7F7F7F"/>
                </patternFill>
              </fill>
            </x14:dxf>
          </x14:cfRule>
          <xm:sqref>F47</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5" zoomScale="100" workbookViewId="0">
      <selection activeCell="A1" activeCellId="0" sqref="A1"/>
    </sheetView>
  </sheetViews>
  <sheetFormatPr defaultRowHeight="14.25"/>
  <cols>
    <col customWidth="1" min="1" max="1" width="15.8515625"/>
    <col customWidth="1" min="2" max="2" width="16.57421875"/>
    <col customWidth="1" min="3" max="3" width="7.421875"/>
    <col customWidth="1" min="4" max="4" width="31.140625"/>
    <col customWidth="1" min="5" max="5" width="11.00390625"/>
    <col customWidth="1" min="6" max="6" width="15.57421875"/>
    <col customWidth="1" min="7" max="7" width="92.28125"/>
    <col customWidth="1" min="9" max="9" style="215" width="19.00390625"/>
  </cols>
  <sheetData>
    <row r="1" ht="15">
      <c r="A1" s="495" t="s">
        <v>153</v>
      </c>
      <c r="B1" s="495"/>
      <c r="C1" s="495"/>
      <c r="D1" s="495"/>
      <c r="E1" s="495"/>
      <c r="F1" s="495"/>
      <c r="G1" s="495"/>
      <c r="H1" s="495"/>
      <c r="I1" s="495"/>
    </row>
    <row r="2" ht="30">
      <c r="A2" s="290" t="s">
        <v>154</v>
      </c>
      <c r="B2" s="290" t="s">
        <v>127</v>
      </c>
      <c r="C2" s="290" t="s">
        <v>196</v>
      </c>
      <c r="D2" s="544" t="s">
        <v>155</v>
      </c>
      <c r="E2" s="654" t="s">
        <v>8</v>
      </c>
      <c r="F2" s="655"/>
      <c r="G2" s="341" t="s">
        <v>156</v>
      </c>
      <c r="H2" s="389" t="s">
        <v>230</v>
      </c>
      <c r="I2" s="388" t="s">
        <v>158</v>
      </c>
    </row>
    <row r="3" ht="409.5" customHeight="1">
      <c r="A3" s="390" t="s">
        <v>137</v>
      </c>
      <c r="B3" s="225" t="s">
        <v>650</v>
      </c>
      <c r="C3" s="19">
        <v>1</v>
      </c>
      <c r="D3" s="261" t="s">
        <v>29</v>
      </c>
      <c r="E3" s="656">
        <v>1</v>
      </c>
      <c r="F3" s="657" t="s">
        <v>30</v>
      </c>
      <c r="G3" s="268" t="s">
        <v>651</v>
      </c>
      <c r="H3" s="292" t="s">
        <v>14</v>
      </c>
      <c r="I3" s="147" t="s">
        <v>15</v>
      </c>
    </row>
    <row r="4" ht="361.5" customHeight="1">
      <c r="A4" s="393"/>
      <c r="B4" s="231"/>
      <c r="C4" s="19">
        <v>2</v>
      </c>
      <c r="D4" s="261" t="s">
        <v>26</v>
      </c>
      <c r="E4" s="658">
        <v>1</v>
      </c>
      <c r="F4" s="287" t="s">
        <v>30</v>
      </c>
      <c r="G4" s="268" t="s">
        <v>652</v>
      </c>
      <c r="H4" s="292" t="s">
        <v>14</v>
      </c>
      <c r="I4" s="147" t="s">
        <v>15</v>
      </c>
    </row>
    <row r="5" ht="303.75" customHeight="1">
      <c r="A5" s="393"/>
      <c r="B5" s="231"/>
      <c r="C5" s="19">
        <v>3</v>
      </c>
      <c r="D5" s="261" t="s">
        <v>12</v>
      </c>
      <c r="E5" s="659">
        <v>0.13</v>
      </c>
      <c r="F5" s="660" t="s">
        <v>58</v>
      </c>
      <c r="G5" s="396" t="s">
        <v>653</v>
      </c>
      <c r="H5" s="292" t="s">
        <v>14</v>
      </c>
      <c r="I5" s="147" t="s">
        <v>15</v>
      </c>
    </row>
    <row r="6" ht="298.5" customHeight="1">
      <c r="A6" s="393"/>
      <c r="B6" s="231"/>
      <c r="C6" s="19">
        <v>4</v>
      </c>
      <c r="D6" s="260" t="s">
        <v>20</v>
      </c>
      <c r="E6" s="661">
        <v>0.40000000000000002</v>
      </c>
      <c r="F6" s="662" t="s">
        <v>13</v>
      </c>
      <c r="G6" s="342" t="s">
        <v>654</v>
      </c>
      <c r="H6" s="292" t="s">
        <v>14</v>
      </c>
      <c r="I6" s="147" t="s">
        <v>15</v>
      </c>
    </row>
    <row r="7" ht="257.25" customHeight="1">
      <c r="A7" s="393"/>
      <c r="B7" s="231"/>
      <c r="C7" s="19">
        <v>5</v>
      </c>
      <c r="D7" s="27" t="s">
        <v>23</v>
      </c>
      <c r="E7" s="663">
        <v>0.38</v>
      </c>
      <c r="F7" s="664" t="s">
        <v>24</v>
      </c>
      <c r="G7" s="401" t="s">
        <v>655</v>
      </c>
      <c r="H7" s="292" t="s">
        <v>14</v>
      </c>
      <c r="I7" s="147" t="s">
        <v>15</v>
      </c>
    </row>
    <row r="8" ht="345" customHeight="1">
      <c r="A8" s="393"/>
      <c r="B8" s="231"/>
      <c r="C8" s="19">
        <v>6</v>
      </c>
      <c r="D8" s="261" t="s">
        <v>22</v>
      </c>
      <c r="E8" s="665">
        <v>0.59999999999999998</v>
      </c>
      <c r="F8" s="666" t="s">
        <v>24</v>
      </c>
      <c r="G8" s="667" t="s">
        <v>656</v>
      </c>
      <c r="H8" s="292" t="s">
        <v>14</v>
      </c>
      <c r="I8" s="147" t="s">
        <v>15</v>
      </c>
    </row>
    <row r="9" ht="120.75" customHeight="1">
      <c r="A9" s="393"/>
      <c r="B9" s="231"/>
      <c r="C9" s="19">
        <v>7</v>
      </c>
      <c r="D9" s="261" t="s">
        <v>19</v>
      </c>
      <c r="E9" s="668">
        <v>0.14000000000000001</v>
      </c>
      <c r="F9" s="669" t="s">
        <v>58</v>
      </c>
      <c r="G9" s="670" t="s">
        <v>657</v>
      </c>
      <c r="H9" s="176" t="s">
        <v>14</v>
      </c>
      <c r="I9" s="18" t="s">
        <v>15</v>
      </c>
    </row>
    <row r="10" ht="297" customHeight="1">
      <c r="A10" s="393"/>
      <c r="B10" s="231"/>
      <c r="C10" s="671">
        <v>8</v>
      </c>
      <c r="D10" s="347" t="s">
        <v>32</v>
      </c>
      <c r="E10" s="240">
        <v>0.85999999999999999</v>
      </c>
      <c r="F10" s="672" t="s">
        <v>30</v>
      </c>
      <c r="G10" s="673" t="s">
        <v>658</v>
      </c>
      <c r="H10" s="347" t="s">
        <v>168</v>
      </c>
      <c r="I10" s="18" t="s">
        <v>15</v>
      </c>
    </row>
    <row r="11" ht="180.75" customHeight="1">
      <c r="A11" s="404"/>
      <c r="B11" s="244"/>
      <c r="C11" s="671">
        <v>9</v>
      </c>
      <c r="D11" s="347" t="s">
        <v>17</v>
      </c>
      <c r="E11" s="674">
        <v>0.20000000000000001</v>
      </c>
      <c r="F11" s="669" t="s">
        <v>58</v>
      </c>
      <c r="G11" s="264" t="s">
        <v>659</v>
      </c>
      <c r="H11" s="176" t="s">
        <v>14</v>
      </c>
      <c r="I11" s="147" t="s">
        <v>15</v>
      </c>
    </row>
    <row r="12" ht="15">
      <c r="A12" s="675"/>
      <c r="B12" s="245"/>
      <c r="C12" s="105"/>
      <c r="D12" s="542"/>
      <c r="E12" s="676">
        <f>(E3+E4+E5+E6+E9+E10+E11)/9</f>
        <v>0.41444444444444445</v>
      </c>
      <c r="F12" s="104"/>
      <c r="G12" s="102"/>
      <c r="H12" s="102"/>
      <c r="I12" s="248"/>
    </row>
    <row r="13" s="214" customFormat="1" ht="17.25">
      <c r="A13" s="570" t="s">
        <v>193</v>
      </c>
      <c r="E13" s="677"/>
      <c r="G13" s="678"/>
      <c r="H13" s="678"/>
      <c r="I13" s="503"/>
    </row>
    <row r="14" s="214" customFormat="1" ht="16.5">
      <c r="E14" s="677"/>
      <c r="F14" s="214"/>
      <c r="G14" s="678"/>
      <c r="H14" s="678"/>
      <c r="I14" s="503"/>
    </row>
    <row r="15" s="214" customFormat="1" ht="70.5" customHeight="1">
      <c r="A15" s="176" t="s">
        <v>597</v>
      </c>
      <c r="B15" s="168" t="s">
        <v>660</v>
      </c>
      <c r="C15" s="169"/>
      <c r="D15" s="170"/>
      <c r="E15" s="387">
        <v>0.40999999999999998</v>
      </c>
      <c r="F15" s="97" t="s">
        <v>24</v>
      </c>
      <c r="G15" s="168" t="s">
        <v>661</v>
      </c>
      <c r="H15" s="169"/>
      <c r="I15" s="170"/>
    </row>
    <row r="16" ht="14.25">
      <c r="I16" s="215"/>
    </row>
    <row r="17" ht="15">
      <c r="A17" s="495" t="s">
        <v>327</v>
      </c>
      <c r="B17" s="495"/>
      <c r="C17" s="495"/>
      <c r="D17" s="495"/>
      <c r="E17" s="495"/>
      <c r="F17" s="495"/>
      <c r="G17" s="495"/>
      <c r="H17" s="495"/>
      <c r="I17" s="495"/>
    </row>
    <row r="18" ht="30">
      <c r="A18" s="290" t="s">
        <v>154</v>
      </c>
      <c r="B18" s="290" t="s">
        <v>127</v>
      </c>
      <c r="C18" s="290" t="s">
        <v>196</v>
      </c>
      <c r="D18" s="544" t="s">
        <v>155</v>
      </c>
      <c r="E18" s="654" t="s">
        <v>8</v>
      </c>
      <c r="F18" s="655"/>
      <c r="G18" s="341" t="s">
        <v>156</v>
      </c>
      <c r="H18" s="389" t="s">
        <v>230</v>
      </c>
      <c r="I18" s="388" t="s">
        <v>158</v>
      </c>
    </row>
    <row r="19" ht="360">
      <c r="A19" s="390" t="s">
        <v>137</v>
      </c>
      <c r="B19" s="225" t="s">
        <v>650</v>
      </c>
      <c r="C19" s="19">
        <v>1</v>
      </c>
      <c r="D19" s="261" t="s">
        <v>173</v>
      </c>
      <c r="E19" s="233">
        <v>0.82999999999999996</v>
      </c>
      <c r="F19" s="392" t="s">
        <v>30</v>
      </c>
      <c r="G19" s="268" t="s">
        <v>662</v>
      </c>
      <c r="H19" s="511" t="s">
        <v>62</v>
      </c>
      <c r="I19" s="229" t="s">
        <v>66</v>
      </c>
    </row>
    <row r="20" ht="405">
      <c r="A20" s="393"/>
      <c r="B20" s="231"/>
      <c r="C20" s="19">
        <v>2</v>
      </c>
      <c r="D20" s="261" t="s">
        <v>211</v>
      </c>
      <c r="E20" s="240">
        <v>0.90000000000000002</v>
      </c>
      <c r="F20" s="392" t="s">
        <v>30</v>
      </c>
      <c r="G20" s="268" t="s">
        <v>663</v>
      </c>
      <c r="H20" s="511" t="s">
        <v>62</v>
      </c>
      <c r="I20" s="261" t="s">
        <v>66</v>
      </c>
    </row>
    <row r="21" ht="356.25">
      <c r="A21" s="393"/>
      <c r="B21" s="231"/>
      <c r="C21" s="19">
        <v>3</v>
      </c>
      <c r="D21" s="261" t="s">
        <v>104</v>
      </c>
      <c r="E21" s="227">
        <v>1</v>
      </c>
      <c r="F21" s="679" t="s">
        <v>30</v>
      </c>
      <c r="G21" s="264" t="s">
        <v>664</v>
      </c>
      <c r="H21" s="19" t="s">
        <v>62</v>
      </c>
      <c r="I21" s="261" t="s">
        <v>63</v>
      </c>
    </row>
    <row r="22" ht="344.25" customHeight="1">
      <c r="A22" s="393"/>
      <c r="B22" s="231"/>
      <c r="C22" s="19">
        <v>4</v>
      </c>
      <c r="D22" s="261" t="s">
        <v>94</v>
      </c>
      <c r="E22" s="233">
        <v>1</v>
      </c>
      <c r="F22" s="288" t="s">
        <v>30</v>
      </c>
      <c r="G22" s="342" t="s">
        <v>665</v>
      </c>
      <c r="H22" s="19" t="s">
        <v>62</v>
      </c>
      <c r="I22" s="229" t="s">
        <v>66</v>
      </c>
    </row>
    <row r="23" ht="108.75" customHeight="1">
      <c r="A23" s="393"/>
      <c r="B23" s="231"/>
      <c r="C23" s="19">
        <v>5</v>
      </c>
      <c r="D23" s="261" t="s">
        <v>65</v>
      </c>
      <c r="E23" s="235">
        <v>0</v>
      </c>
      <c r="F23" s="680" t="s">
        <v>161</v>
      </c>
      <c r="G23" s="681" t="s">
        <v>666</v>
      </c>
      <c r="H23" s="19" t="s">
        <v>62</v>
      </c>
      <c r="I23" s="243" t="s">
        <v>66</v>
      </c>
    </row>
    <row r="24" ht="154.5" customHeight="1">
      <c r="A24" s="393"/>
      <c r="B24" s="231"/>
      <c r="C24" s="19">
        <v>6</v>
      </c>
      <c r="D24" s="261" t="s">
        <v>79</v>
      </c>
      <c r="E24" s="235">
        <v>0</v>
      </c>
      <c r="F24" s="680" t="s">
        <v>161</v>
      </c>
      <c r="G24" s="670" t="s">
        <v>667</v>
      </c>
      <c r="H24" s="19" t="s">
        <v>62</v>
      </c>
      <c r="I24" s="243" t="s">
        <v>63</v>
      </c>
    </row>
    <row r="25" ht="392.25" customHeight="1">
      <c r="A25" s="393"/>
      <c r="B25" s="231"/>
      <c r="C25" s="671">
        <v>7</v>
      </c>
      <c r="D25" s="347" t="s">
        <v>100</v>
      </c>
      <c r="E25" s="233">
        <v>1</v>
      </c>
      <c r="F25" s="310" t="s">
        <v>30</v>
      </c>
      <c r="G25" s="673" t="s">
        <v>668</v>
      </c>
      <c r="H25" s="19" t="s">
        <v>62</v>
      </c>
      <c r="I25" s="243" t="s">
        <v>63</v>
      </c>
    </row>
    <row r="26" ht="144">
      <c r="A26" s="393"/>
      <c r="B26" s="231"/>
      <c r="C26" s="671">
        <v>8</v>
      </c>
      <c r="D26" s="206" t="s">
        <v>90</v>
      </c>
      <c r="E26" s="682" t="s">
        <v>669</v>
      </c>
      <c r="F26" s="461" t="s">
        <v>251</v>
      </c>
      <c r="G26" s="673" t="s">
        <v>670</v>
      </c>
      <c r="H26" s="19" t="s">
        <v>62</v>
      </c>
      <c r="I26" s="243" t="s">
        <v>70</v>
      </c>
    </row>
    <row r="27" ht="327.75">
      <c r="A27" s="393"/>
      <c r="B27" s="231"/>
      <c r="C27" s="671">
        <v>9</v>
      </c>
      <c r="D27" s="206" t="s">
        <v>98</v>
      </c>
      <c r="E27" s="683">
        <v>0.67000000000000004</v>
      </c>
      <c r="F27" s="684" t="s">
        <v>27</v>
      </c>
      <c r="G27" s="685" t="s">
        <v>671</v>
      </c>
      <c r="H27" s="19" t="s">
        <v>62</v>
      </c>
      <c r="I27" s="243" t="s">
        <v>70</v>
      </c>
    </row>
    <row r="28" ht="285">
      <c r="A28" s="393"/>
      <c r="B28" s="231"/>
      <c r="C28" s="311">
        <v>10</v>
      </c>
      <c r="D28" s="205" t="s">
        <v>82</v>
      </c>
      <c r="E28" s="686">
        <v>0.75</v>
      </c>
      <c r="F28" s="584" t="s">
        <v>27</v>
      </c>
      <c r="G28" s="82" t="s">
        <v>672</v>
      </c>
      <c r="H28" s="19" t="s">
        <v>62</v>
      </c>
      <c r="I28" s="243" t="s">
        <v>66</v>
      </c>
    </row>
    <row r="29" ht="57">
      <c r="A29" s="393"/>
      <c r="B29" s="231"/>
      <c r="C29" s="311">
        <v>11</v>
      </c>
      <c r="D29" s="205" t="s">
        <v>69</v>
      </c>
      <c r="E29" s="235">
        <v>0</v>
      </c>
      <c r="F29" s="680" t="s">
        <v>161</v>
      </c>
      <c r="G29" s="205" t="s">
        <v>673</v>
      </c>
      <c r="H29" s="19" t="s">
        <v>62</v>
      </c>
      <c r="I29" s="243" t="s">
        <v>70</v>
      </c>
    </row>
    <row r="30" ht="114">
      <c r="A30" s="393"/>
      <c r="B30" s="231"/>
      <c r="C30" s="311">
        <v>12</v>
      </c>
      <c r="D30" s="205" t="s">
        <v>61</v>
      </c>
      <c r="E30" s="235">
        <v>0</v>
      </c>
      <c r="F30" s="680" t="s">
        <v>161</v>
      </c>
      <c r="G30" s="205" t="s">
        <v>674</v>
      </c>
      <c r="H30" s="19" t="s">
        <v>62</v>
      </c>
      <c r="I30" s="243" t="s">
        <v>70</v>
      </c>
    </row>
    <row r="31" ht="29.25" customHeight="1">
      <c r="A31" s="393"/>
      <c r="B31" s="231"/>
      <c r="C31" s="101">
        <v>13</v>
      </c>
      <c r="D31" s="205" t="s">
        <v>67</v>
      </c>
      <c r="E31" s="375" t="s">
        <v>669</v>
      </c>
      <c r="F31" s="486" t="s">
        <v>251</v>
      </c>
      <c r="G31" s="205" t="s">
        <v>675</v>
      </c>
      <c r="H31" s="19" t="s">
        <v>62</v>
      </c>
      <c r="I31" s="209" t="s">
        <v>66</v>
      </c>
    </row>
    <row r="32" ht="230.25" customHeight="1">
      <c r="A32" s="393"/>
      <c r="B32" s="231"/>
      <c r="C32" s="101">
        <v>14</v>
      </c>
      <c r="D32" s="205" t="s">
        <v>85</v>
      </c>
      <c r="E32" s="368">
        <v>0.82999999999999996</v>
      </c>
      <c r="F32" s="288" t="s">
        <v>30</v>
      </c>
      <c r="G32" s="205" t="s">
        <v>676</v>
      </c>
      <c r="H32" s="19" t="s">
        <v>62</v>
      </c>
      <c r="I32" s="205" t="s">
        <v>70</v>
      </c>
    </row>
    <row r="33" ht="231" customHeight="1">
      <c r="A33" s="393"/>
      <c r="B33" s="231"/>
      <c r="C33" s="101">
        <v>15</v>
      </c>
      <c r="D33" s="205" t="s">
        <v>185</v>
      </c>
      <c r="E33" s="317">
        <v>0.56999999999999995</v>
      </c>
      <c r="F33" s="687" t="s">
        <v>24</v>
      </c>
      <c r="G33" s="205" t="s">
        <v>677</v>
      </c>
      <c r="H33" s="19" t="s">
        <v>62</v>
      </c>
      <c r="I33" s="209" t="s">
        <v>63</v>
      </c>
    </row>
    <row r="34" ht="54.75" customHeight="1">
      <c r="A34" s="393"/>
      <c r="B34" s="231"/>
      <c r="C34" s="101">
        <v>16</v>
      </c>
      <c r="D34" s="205" t="s">
        <v>72</v>
      </c>
      <c r="E34" s="370">
        <v>0.75</v>
      </c>
      <c r="F34" s="288" t="s">
        <v>30</v>
      </c>
      <c r="G34" s="205" t="s">
        <v>678</v>
      </c>
      <c r="H34" s="19" t="s">
        <v>62</v>
      </c>
      <c r="I34" s="209" t="s">
        <v>66</v>
      </c>
    </row>
    <row r="35" ht="263.25" customHeight="1">
      <c r="A35" s="393"/>
      <c r="B35" s="231"/>
      <c r="C35" s="101">
        <v>17</v>
      </c>
      <c r="D35" s="205" t="s">
        <v>88</v>
      </c>
      <c r="E35" s="380">
        <v>1</v>
      </c>
      <c r="F35" s="288" t="s">
        <v>30</v>
      </c>
      <c r="G35" s="205" t="s">
        <v>679</v>
      </c>
      <c r="H35" s="19" t="s">
        <v>62</v>
      </c>
      <c r="I35" s="209" t="s">
        <v>66</v>
      </c>
    </row>
    <row r="36" ht="320.25" customHeight="1">
      <c r="A36" s="393"/>
      <c r="B36" s="231"/>
      <c r="C36" s="101">
        <v>18</v>
      </c>
      <c r="D36" s="205" t="s">
        <v>93</v>
      </c>
      <c r="E36" s="317">
        <v>0.56999999999999995</v>
      </c>
      <c r="F36" s="687" t="s">
        <v>24</v>
      </c>
      <c r="G36" s="205" t="s">
        <v>680</v>
      </c>
      <c r="H36" s="19" t="s">
        <v>62</v>
      </c>
      <c r="I36" s="209" t="s">
        <v>66</v>
      </c>
    </row>
    <row r="37" ht="227.25" customHeight="1">
      <c r="A37" s="393"/>
      <c r="B37" s="231"/>
      <c r="C37" s="101">
        <v>19</v>
      </c>
      <c r="D37" s="205" t="s">
        <v>80</v>
      </c>
      <c r="E37" s="380">
        <v>0.82999999999999996</v>
      </c>
      <c r="F37" s="288" t="s">
        <v>30</v>
      </c>
      <c r="G37" s="205" t="s">
        <v>681</v>
      </c>
      <c r="H37" s="19" t="s">
        <v>62</v>
      </c>
      <c r="I37" s="205" t="s">
        <v>70</v>
      </c>
    </row>
    <row r="38" ht="356.25">
      <c r="A38" s="393"/>
      <c r="B38" s="231"/>
      <c r="C38" s="101">
        <v>20</v>
      </c>
      <c r="D38" s="205" t="s">
        <v>91</v>
      </c>
      <c r="E38" s="380">
        <v>1</v>
      </c>
      <c r="F38" s="688" t="s">
        <v>30</v>
      </c>
      <c r="G38" s="82" t="s">
        <v>682</v>
      </c>
      <c r="H38" s="19" t="s">
        <v>62</v>
      </c>
      <c r="I38" s="205" t="s">
        <v>70</v>
      </c>
    </row>
    <row r="39" ht="213.75">
      <c r="A39" s="393"/>
      <c r="B39" s="231"/>
      <c r="C39" s="101">
        <v>21</v>
      </c>
      <c r="D39" s="205" t="s">
        <v>92</v>
      </c>
      <c r="E39" s="378">
        <v>0.63</v>
      </c>
      <c r="F39" s="379" t="s">
        <v>27</v>
      </c>
      <c r="G39" s="82" t="s">
        <v>683</v>
      </c>
      <c r="H39" s="19" t="s">
        <v>62</v>
      </c>
      <c r="I39" s="209" t="s">
        <v>63</v>
      </c>
    </row>
    <row r="40" ht="409.5">
      <c r="A40" s="393"/>
      <c r="B40" s="231"/>
      <c r="C40" s="68">
        <v>22</v>
      </c>
      <c r="D40" s="205" t="s">
        <v>74</v>
      </c>
      <c r="E40" s="522">
        <v>0</v>
      </c>
      <c r="F40" s="372" t="s">
        <v>58</v>
      </c>
      <c r="G40" s="82" t="s">
        <v>684</v>
      </c>
      <c r="H40" s="19" t="s">
        <v>62</v>
      </c>
      <c r="I40" s="209" t="s">
        <v>63</v>
      </c>
    </row>
    <row r="41" ht="199.5">
      <c r="A41" s="393"/>
      <c r="B41" s="231"/>
      <c r="C41" s="68">
        <v>23</v>
      </c>
      <c r="D41" s="205" t="s">
        <v>84</v>
      </c>
      <c r="E41" s="380">
        <v>0.82999999999999996</v>
      </c>
      <c r="F41" s="485" t="s">
        <v>30</v>
      </c>
      <c r="G41" s="82" t="s">
        <v>685</v>
      </c>
      <c r="H41" s="19" t="s">
        <v>62</v>
      </c>
      <c r="I41" s="205" t="s">
        <v>70</v>
      </c>
    </row>
    <row r="42" ht="228">
      <c r="A42" s="393"/>
      <c r="B42" s="231"/>
      <c r="C42" s="68">
        <v>24</v>
      </c>
      <c r="D42" s="82" t="s">
        <v>77</v>
      </c>
      <c r="E42" s="378">
        <v>0.67000000000000004</v>
      </c>
      <c r="F42" s="379" t="s">
        <v>27</v>
      </c>
      <c r="G42" s="82" t="s">
        <v>686</v>
      </c>
      <c r="H42" s="19" t="s">
        <v>62</v>
      </c>
      <c r="I42" s="205" t="s">
        <v>70</v>
      </c>
    </row>
    <row r="43" ht="28.5">
      <c r="A43" s="393"/>
      <c r="B43" s="231"/>
      <c r="C43" s="68">
        <v>25</v>
      </c>
      <c r="D43" s="68" t="s">
        <v>76</v>
      </c>
      <c r="E43" s="376">
        <v>0.5</v>
      </c>
      <c r="F43" s="97" t="s">
        <v>24</v>
      </c>
      <c r="G43" s="209" t="s">
        <v>678</v>
      </c>
      <c r="H43" s="19" t="s">
        <v>62</v>
      </c>
      <c r="I43" s="205" t="s">
        <v>70</v>
      </c>
    </row>
    <row r="44" ht="356.25">
      <c r="A44" s="404"/>
      <c r="B44" s="244"/>
      <c r="C44" s="209">
        <v>26</v>
      </c>
      <c r="D44" s="205" t="s">
        <v>96</v>
      </c>
      <c r="E44" s="380">
        <v>0.90000000000000002</v>
      </c>
      <c r="F44" s="485" t="s">
        <v>30</v>
      </c>
      <c r="G44" s="205" t="s">
        <v>687</v>
      </c>
      <c r="H44" s="19" t="s">
        <v>62</v>
      </c>
      <c r="I44" s="205" t="s">
        <v>66</v>
      </c>
    </row>
    <row r="45" ht="15">
      <c r="A45" s="675"/>
      <c r="B45" s="245"/>
      <c r="C45" s="215"/>
      <c r="D45" s="542"/>
      <c r="E45" s="676">
        <f>(E19+E20+E22+E23+E24+E25+E27+E28+E29+E30+E32+E33+E35+E34+E36+E37+E38+E39+E40+E41+E42+E43+E44)/25</f>
        <v>0.56920000000000004</v>
      </c>
      <c r="F45" s="104"/>
      <c r="G45" s="542"/>
      <c r="H45" s="249"/>
      <c r="I45" s="542"/>
    </row>
    <row r="46" ht="14.25">
      <c r="E46" s="323"/>
      <c r="I46" s="215"/>
    </row>
    <row r="47" ht="30">
      <c r="A47" s="176" t="s">
        <v>597</v>
      </c>
      <c r="B47" s="168" t="s">
        <v>660</v>
      </c>
      <c r="C47" s="169"/>
      <c r="D47" s="170"/>
      <c r="E47" s="387">
        <v>0.56999999999999995</v>
      </c>
      <c r="F47" s="666" t="s">
        <v>24</v>
      </c>
      <c r="G47" s="168" t="s">
        <v>688</v>
      </c>
      <c r="H47" s="169"/>
      <c r="I47" s="170"/>
    </row>
    <row r="48" ht="14.25">
      <c r="I48" s="215"/>
    </row>
  </sheetData>
  <mergeCells count="12">
    <mergeCell ref="A1:I1"/>
    <mergeCell ref="E2:F2"/>
    <mergeCell ref="A3:A11"/>
    <mergeCell ref="B3:B11"/>
    <mergeCell ref="B15:D15"/>
    <mergeCell ref="G15:I15"/>
    <mergeCell ref="A17:I17"/>
    <mergeCell ref="E18:F18"/>
    <mergeCell ref="A19:A44"/>
    <mergeCell ref="B19:B44"/>
    <mergeCell ref="B47:D47"/>
    <mergeCell ref="G47:I4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1" text="Невозможно измерить" id="{00730075-0024-4146-BA5D-00FF006D00A7}">
            <xm:f>NOT(ISERROR(SEARCH("Невозможно измерить",D9)))</xm:f>
            <x14:dxf>
              <fill>
                <patternFill patternType="solid">
                  <fgColor rgb="FF7F7F7F"/>
                  <bgColor rgb="FF7F7F7F"/>
                </patternFill>
              </fill>
            </x14:dxf>
          </x14:cfRule>
          <xm:sqref>F10</xm:sqref>
        </x14:conditionalFormatting>
        <x14:conditionalFormatting xmlns:xm="http://schemas.microsoft.com/office/excel/2006/main">
          <x14:cfRule type="containsText" priority="1" text="Невозможно измерить" id="{00700054-0079-489E-8BA0-0036008D00EF}">
            <xm:f>NOT(ISERROR(SEARCH("Невозможно измерить",D9)))</xm:f>
            <x14:dxf>
              <fill>
                <patternFill patternType="solid">
                  <fgColor rgb="FF7F7F7F"/>
                  <bgColor rgb="FF7F7F7F"/>
                </patternFill>
              </fill>
            </x14:dxf>
          </x14:cfRule>
          <xm:sqref>F25</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3" zoomScale="100" workbookViewId="0">
      <selection activeCell="A1" activeCellId="0" sqref="A1"/>
    </sheetView>
  </sheetViews>
  <sheetFormatPr defaultRowHeight="14.25"/>
  <cols>
    <col customWidth="1" min="1" max="1" width="25.28125"/>
    <col customWidth="1" min="2" max="2" width="16.140625"/>
    <col customWidth="1" min="3" max="3" width="7.7109375"/>
    <col customWidth="1" min="4" max="4" width="22.00390625"/>
    <col customWidth="1" min="5" max="5" width="9.8515625"/>
    <col customWidth="1" min="6" max="6" width="15.57421875"/>
    <col customWidth="1" min="7" max="7" width="82.00390625"/>
    <col customWidth="1" min="9" max="9" width="26.8515625"/>
    <col customWidth="1" min="10" max="10" width="24.421875"/>
  </cols>
  <sheetData>
    <row r="1" ht="15">
      <c r="A1" s="633" t="s">
        <v>153</v>
      </c>
      <c r="B1" s="614"/>
      <c r="C1" s="614"/>
      <c r="D1" s="614"/>
      <c r="E1" s="614"/>
      <c r="F1" s="614"/>
      <c r="G1" s="614"/>
      <c r="H1" s="614"/>
      <c r="I1" s="614"/>
    </row>
    <row r="2" ht="30">
      <c r="A2" s="285" t="s">
        <v>154</v>
      </c>
      <c r="B2" s="285" t="s">
        <v>127</v>
      </c>
      <c r="C2" s="285" t="s">
        <v>196</v>
      </c>
      <c r="D2" s="223" t="s">
        <v>155</v>
      </c>
      <c r="E2" s="221" t="s">
        <v>8</v>
      </c>
      <c r="F2" s="222"/>
      <c r="G2" s="223" t="s">
        <v>156</v>
      </c>
      <c r="H2" s="529" t="s">
        <v>230</v>
      </c>
      <c r="I2" s="223" t="s">
        <v>158</v>
      </c>
    </row>
    <row r="3" ht="80.25" customHeight="1">
      <c r="A3" s="648" t="s">
        <v>137</v>
      </c>
      <c r="B3" s="531" t="s">
        <v>689</v>
      </c>
      <c r="C3" s="19">
        <v>1</v>
      </c>
      <c r="D3" s="261" t="s">
        <v>29</v>
      </c>
      <c r="E3" s="689">
        <v>0.80000000000000004</v>
      </c>
      <c r="F3" s="392" t="s">
        <v>30</v>
      </c>
      <c r="G3" s="347" t="s">
        <v>690</v>
      </c>
      <c r="H3" s="292" t="s">
        <v>14</v>
      </c>
      <c r="I3" s="147" t="s">
        <v>15</v>
      </c>
    </row>
    <row r="4" ht="92.25" customHeight="1">
      <c r="A4" s="650"/>
      <c r="B4" s="534"/>
      <c r="C4" s="19">
        <v>2</v>
      </c>
      <c r="D4" s="261" t="s">
        <v>26</v>
      </c>
      <c r="E4" s="651">
        <v>0.92000000000000004</v>
      </c>
      <c r="F4" s="392" t="s">
        <v>30</v>
      </c>
      <c r="G4" s="264" t="s">
        <v>691</v>
      </c>
      <c r="H4" s="147" t="s">
        <v>14</v>
      </c>
      <c r="I4" s="147" t="s">
        <v>15</v>
      </c>
    </row>
    <row r="5" ht="105" customHeight="1">
      <c r="A5" s="650"/>
      <c r="B5" s="534"/>
      <c r="C5" s="19">
        <v>3</v>
      </c>
      <c r="D5" s="261" t="s">
        <v>12</v>
      </c>
      <c r="E5" s="690">
        <v>0</v>
      </c>
      <c r="F5" s="690" t="s">
        <v>161</v>
      </c>
      <c r="G5" s="261" t="s">
        <v>692</v>
      </c>
      <c r="H5" s="147" t="s">
        <v>14</v>
      </c>
      <c r="I5" s="147" t="s">
        <v>15</v>
      </c>
    </row>
    <row r="6" ht="138.75" customHeight="1">
      <c r="A6" s="650"/>
      <c r="B6" s="534"/>
      <c r="C6" s="19">
        <v>4</v>
      </c>
      <c r="D6" s="260" t="s">
        <v>20</v>
      </c>
      <c r="E6" s="691">
        <v>0</v>
      </c>
      <c r="F6" s="692" t="s">
        <v>161</v>
      </c>
      <c r="G6" s="347" t="s">
        <v>692</v>
      </c>
      <c r="H6" s="147" t="s">
        <v>14</v>
      </c>
      <c r="I6" s="147" t="s">
        <v>15</v>
      </c>
      <c r="J6" s="693"/>
    </row>
    <row r="7" ht="89.25" customHeight="1">
      <c r="A7" s="650"/>
      <c r="B7" s="534"/>
      <c r="C7" s="19">
        <v>5</v>
      </c>
      <c r="D7" s="27" t="s">
        <v>23</v>
      </c>
      <c r="E7" s="172">
        <v>1</v>
      </c>
      <c r="F7" s="172" t="s">
        <v>30</v>
      </c>
      <c r="G7" s="347" t="s">
        <v>693</v>
      </c>
      <c r="H7" s="147" t="s">
        <v>14</v>
      </c>
      <c r="I7" s="147" t="s">
        <v>15</v>
      </c>
      <c r="J7" s="693"/>
    </row>
    <row r="8" ht="171" customHeight="1">
      <c r="A8" s="650"/>
      <c r="B8" s="534"/>
      <c r="C8" s="19">
        <v>6</v>
      </c>
      <c r="D8" s="261" t="s">
        <v>22</v>
      </c>
      <c r="E8" s="19" t="s">
        <v>250</v>
      </c>
      <c r="F8" s="147" t="s">
        <v>251</v>
      </c>
      <c r="G8" s="176" t="s">
        <v>694</v>
      </c>
      <c r="H8" s="147" t="s">
        <v>14</v>
      </c>
      <c r="I8" s="147" t="s">
        <v>15</v>
      </c>
    </row>
    <row r="9" ht="109.5" customHeight="1">
      <c r="A9" s="650"/>
      <c r="B9" s="534"/>
      <c r="C9" s="19">
        <v>7</v>
      </c>
      <c r="D9" s="261" t="s">
        <v>19</v>
      </c>
      <c r="E9" s="694">
        <v>0</v>
      </c>
      <c r="F9" s="695" t="s">
        <v>161</v>
      </c>
      <c r="G9" s="347" t="s">
        <v>695</v>
      </c>
      <c r="H9" s="176" t="s">
        <v>14</v>
      </c>
      <c r="I9" s="147" t="s">
        <v>15</v>
      </c>
    </row>
    <row r="10" ht="57">
      <c r="A10" s="650"/>
      <c r="B10" s="534"/>
      <c r="C10" s="19">
        <v>8</v>
      </c>
      <c r="D10" s="347" t="s">
        <v>32</v>
      </c>
      <c r="E10" s="172">
        <v>1</v>
      </c>
      <c r="F10" s="172" t="s">
        <v>30</v>
      </c>
      <c r="G10" s="268" t="s">
        <v>696</v>
      </c>
      <c r="H10" s="347" t="s">
        <v>168</v>
      </c>
      <c r="I10" s="147" t="s">
        <v>15</v>
      </c>
    </row>
    <row r="11" ht="57">
      <c r="A11" s="652"/>
      <c r="B11" s="538"/>
      <c r="C11" s="156">
        <v>9</v>
      </c>
      <c r="D11" s="347" t="s">
        <v>17</v>
      </c>
      <c r="E11" s="696" t="s">
        <v>250</v>
      </c>
      <c r="F11" s="697" t="s">
        <v>292</v>
      </c>
      <c r="G11" s="261" t="s">
        <v>694</v>
      </c>
      <c r="H11" s="176" t="s">
        <v>14</v>
      </c>
      <c r="I11" s="147" t="s">
        <v>15</v>
      </c>
    </row>
    <row r="12" ht="15">
      <c r="A12" s="300"/>
      <c r="B12" s="300"/>
      <c r="C12" s="300"/>
      <c r="D12" s="300"/>
      <c r="E12" s="698">
        <f>(E3+E4+E5+E6+E7+E9+E10)/7</f>
        <v>0.53142857142857147</v>
      </c>
      <c r="F12" s="699"/>
      <c r="G12" s="699"/>
      <c r="H12" s="699"/>
      <c r="I12" s="699"/>
    </row>
    <row r="13" ht="15">
      <c r="A13" s="302" t="s">
        <v>193</v>
      </c>
      <c r="B13" s="300"/>
      <c r="C13" s="300"/>
      <c r="D13" s="300"/>
      <c r="E13" s="300"/>
      <c r="F13" s="300"/>
      <c r="G13" s="300"/>
      <c r="H13" s="300"/>
      <c r="I13" s="300"/>
    </row>
    <row r="14" ht="15">
      <c r="A14" s="300"/>
      <c r="B14" s="300"/>
      <c r="C14" s="300"/>
      <c r="D14" s="300"/>
      <c r="E14" s="300"/>
      <c r="F14" s="300"/>
      <c r="G14" s="300"/>
      <c r="H14" s="300"/>
      <c r="I14" s="300"/>
    </row>
    <row r="15" ht="52.5" customHeight="1">
      <c r="A15" s="176" t="s">
        <v>597</v>
      </c>
      <c r="B15" s="168" t="s">
        <v>689</v>
      </c>
      <c r="C15" s="169"/>
      <c r="D15" s="170"/>
      <c r="E15" s="387">
        <v>0.53000000000000003</v>
      </c>
      <c r="F15" s="255" t="s">
        <v>24</v>
      </c>
      <c r="G15" s="168" t="s">
        <v>697</v>
      </c>
      <c r="H15" s="169"/>
      <c r="I15" s="170"/>
    </row>
    <row r="16" ht="14.25"/>
    <row r="17" ht="15">
      <c r="A17" s="495" t="s">
        <v>600</v>
      </c>
      <c r="B17" s="495"/>
      <c r="C17" s="495"/>
      <c r="D17" s="495"/>
      <c r="E17" s="495"/>
      <c r="F17" s="495"/>
      <c r="G17" s="495"/>
      <c r="H17" s="495"/>
      <c r="I17" s="495"/>
    </row>
    <row r="18" ht="14.25"/>
    <row r="19" ht="30">
      <c r="A19" s="285" t="s">
        <v>154</v>
      </c>
      <c r="B19" s="285" t="s">
        <v>127</v>
      </c>
      <c r="C19" s="285" t="s">
        <v>196</v>
      </c>
      <c r="D19" s="223" t="s">
        <v>155</v>
      </c>
      <c r="E19" s="221" t="s">
        <v>8</v>
      </c>
      <c r="F19" s="222"/>
      <c r="G19" s="223" t="s">
        <v>156</v>
      </c>
      <c r="H19" s="529" t="s">
        <v>230</v>
      </c>
      <c r="I19" s="223" t="s">
        <v>158</v>
      </c>
    </row>
    <row r="20" ht="409.5" customHeight="1">
      <c r="A20" s="648" t="s">
        <v>137</v>
      </c>
      <c r="B20" s="531" t="s">
        <v>689</v>
      </c>
      <c r="C20" s="19">
        <v>1</v>
      </c>
      <c r="D20" s="261" t="s">
        <v>173</v>
      </c>
      <c r="E20" s="700">
        <v>0.76000000000000001</v>
      </c>
      <c r="F20" s="701" t="s">
        <v>27</v>
      </c>
      <c r="G20" s="261" t="s">
        <v>698</v>
      </c>
      <c r="H20" s="147" t="s">
        <v>62</v>
      </c>
      <c r="I20" s="261" t="s">
        <v>66</v>
      </c>
    </row>
    <row r="21" ht="112.5" customHeight="1">
      <c r="A21" s="650"/>
      <c r="B21" s="534"/>
      <c r="C21" s="19">
        <v>2</v>
      </c>
      <c r="D21" s="261" t="s">
        <v>211</v>
      </c>
      <c r="E21" s="702">
        <v>0.93999999999999995</v>
      </c>
      <c r="F21" s="703" t="s">
        <v>30</v>
      </c>
      <c r="G21" s="237" t="s">
        <v>699</v>
      </c>
      <c r="H21" s="147" t="s">
        <v>62</v>
      </c>
      <c r="I21" s="261" t="s">
        <v>66</v>
      </c>
    </row>
    <row r="22" ht="57">
      <c r="A22" s="650"/>
      <c r="B22" s="534"/>
      <c r="C22" s="19">
        <v>3</v>
      </c>
      <c r="D22" s="261" t="s">
        <v>104</v>
      </c>
      <c r="E22" s="704">
        <v>0.90000000000000002</v>
      </c>
      <c r="F22" s="703" t="s">
        <v>30</v>
      </c>
      <c r="G22" s="261" t="s">
        <v>700</v>
      </c>
      <c r="H22" s="19" t="s">
        <v>62</v>
      </c>
      <c r="I22" s="261" t="s">
        <v>63</v>
      </c>
    </row>
    <row r="23" ht="57">
      <c r="A23" s="650"/>
      <c r="B23" s="534"/>
      <c r="C23" s="19">
        <v>4</v>
      </c>
      <c r="D23" s="261" t="s">
        <v>94</v>
      </c>
      <c r="E23" s="705">
        <v>0.90000000000000002</v>
      </c>
      <c r="F23" s="703" t="s">
        <v>30</v>
      </c>
      <c r="G23" s="261" t="s">
        <v>701</v>
      </c>
      <c r="H23" s="19" t="s">
        <v>62</v>
      </c>
      <c r="I23" s="265" t="s">
        <v>66</v>
      </c>
    </row>
    <row r="24" ht="57">
      <c r="A24" s="650"/>
      <c r="B24" s="534"/>
      <c r="C24" s="19">
        <v>5</v>
      </c>
      <c r="D24" s="261" t="s">
        <v>65</v>
      </c>
      <c r="E24" s="706">
        <v>0.26000000000000001</v>
      </c>
      <c r="F24" s="706" t="s">
        <v>13</v>
      </c>
      <c r="G24" s="261" t="s">
        <v>702</v>
      </c>
      <c r="H24" s="19" t="s">
        <v>62</v>
      </c>
      <c r="I24" s="229" t="s">
        <v>66</v>
      </c>
    </row>
    <row r="25" ht="42.75">
      <c r="A25" s="650"/>
      <c r="B25" s="534"/>
      <c r="C25" s="19">
        <v>6</v>
      </c>
      <c r="D25" s="261" t="s">
        <v>79</v>
      </c>
      <c r="E25" s="707">
        <v>0</v>
      </c>
      <c r="F25" s="707" t="s">
        <v>161</v>
      </c>
      <c r="G25" s="261" t="s">
        <v>703</v>
      </c>
      <c r="H25" s="19" t="s">
        <v>62</v>
      </c>
      <c r="I25" s="243" t="s">
        <v>63</v>
      </c>
    </row>
    <row r="26" ht="42.75">
      <c r="A26" s="650"/>
      <c r="B26" s="534"/>
      <c r="C26" s="19">
        <v>7</v>
      </c>
      <c r="D26" s="347" t="s">
        <v>100</v>
      </c>
      <c r="E26" s="703">
        <v>0.95999999999999996</v>
      </c>
      <c r="F26" s="708" t="s">
        <v>30</v>
      </c>
      <c r="G26" s="69" t="s">
        <v>704</v>
      </c>
      <c r="H26" s="19" t="s">
        <v>62</v>
      </c>
      <c r="I26" s="243" t="s">
        <v>63</v>
      </c>
    </row>
    <row r="27" ht="147.75" customHeight="1">
      <c r="A27" s="650"/>
      <c r="B27" s="534"/>
      <c r="C27" s="311">
        <v>8</v>
      </c>
      <c r="D27" s="206" t="s">
        <v>90</v>
      </c>
      <c r="E27" s="707">
        <v>0</v>
      </c>
      <c r="F27" s="707" t="s">
        <v>161</v>
      </c>
      <c r="G27" s="313" t="s">
        <v>705</v>
      </c>
      <c r="H27" s="19" t="s">
        <v>62</v>
      </c>
      <c r="I27" s="243" t="s">
        <v>70</v>
      </c>
    </row>
    <row r="28" ht="128.25">
      <c r="A28" s="650"/>
      <c r="B28" s="534"/>
      <c r="C28" s="311">
        <v>9</v>
      </c>
      <c r="D28" s="206" t="s">
        <v>98</v>
      </c>
      <c r="E28" s="709">
        <v>0.98999999999999999</v>
      </c>
      <c r="F28" s="708" t="s">
        <v>30</v>
      </c>
      <c r="G28" s="313" t="s">
        <v>706</v>
      </c>
      <c r="H28" s="19" t="s">
        <v>62</v>
      </c>
      <c r="I28" s="243" t="s">
        <v>70</v>
      </c>
    </row>
    <row r="29" ht="57">
      <c r="A29" s="650"/>
      <c r="B29" s="534"/>
      <c r="C29" s="311">
        <v>10</v>
      </c>
      <c r="D29" s="98" t="s">
        <v>82</v>
      </c>
      <c r="E29" s="710">
        <v>0.98999999999999999</v>
      </c>
      <c r="F29" s="711" t="s">
        <v>30</v>
      </c>
      <c r="G29" s="314" t="s">
        <v>707</v>
      </c>
      <c r="H29" s="19" t="s">
        <v>62</v>
      </c>
      <c r="I29" s="243" t="s">
        <v>66</v>
      </c>
    </row>
    <row r="30" ht="85.5">
      <c r="A30" s="650"/>
      <c r="B30" s="534"/>
      <c r="C30" s="311">
        <v>11</v>
      </c>
      <c r="D30" s="98" t="s">
        <v>69</v>
      </c>
      <c r="E30" s="707">
        <v>0</v>
      </c>
      <c r="F30" s="707" t="s">
        <v>161</v>
      </c>
      <c r="G30" s="205" t="s">
        <v>708</v>
      </c>
      <c r="H30" s="19" t="s">
        <v>62</v>
      </c>
      <c r="I30" s="243" t="s">
        <v>70</v>
      </c>
    </row>
    <row r="31" ht="57">
      <c r="A31" s="650"/>
      <c r="B31" s="534"/>
      <c r="C31" s="311">
        <v>12</v>
      </c>
      <c r="D31" s="98" t="s">
        <v>61</v>
      </c>
      <c r="E31" s="707">
        <v>0</v>
      </c>
      <c r="F31" s="707" t="s">
        <v>161</v>
      </c>
      <c r="G31" s="205" t="s">
        <v>703</v>
      </c>
      <c r="H31" s="19" t="s">
        <v>62</v>
      </c>
      <c r="I31" s="243" t="s">
        <v>70</v>
      </c>
    </row>
    <row r="32" ht="28.5">
      <c r="A32" s="650"/>
      <c r="B32" s="534"/>
      <c r="C32" s="311">
        <v>13</v>
      </c>
      <c r="D32" s="98" t="s">
        <v>67</v>
      </c>
      <c r="E32" s="707">
        <v>0</v>
      </c>
      <c r="F32" s="707" t="s">
        <v>161</v>
      </c>
      <c r="G32" s="205" t="s">
        <v>692</v>
      </c>
      <c r="H32" s="19" t="s">
        <v>62</v>
      </c>
      <c r="I32" s="209" t="s">
        <v>66</v>
      </c>
    </row>
    <row r="33" ht="42.75">
      <c r="A33" s="650"/>
      <c r="B33" s="534"/>
      <c r="C33" s="101">
        <v>14</v>
      </c>
      <c r="D33" s="82" t="s">
        <v>85</v>
      </c>
      <c r="E33" s="707">
        <v>0</v>
      </c>
      <c r="F33" s="707" t="s">
        <v>161</v>
      </c>
      <c r="G33" s="82" t="s">
        <v>709</v>
      </c>
      <c r="H33" s="68"/>
      <c r="I33" s="68" t="s">
        <v>70</v>
      </c>
    </row>
    <row r="34" ht="71.25">
      <c r="A34" s="650"/>
      <c r="B34" s="534"/>
      <c r="C34" s="101">
        <v>15</v>
      </c>
      <c r="D34" s="82" t="s">
        <v>185</v>
      </c>
      <c r="E34" s="707">
        <v>0</v>
      </c>
      <c r="F34" s="707" t="s">
        <v>161</v>
      </c>
      <c r="G34" s="205" t="s">
        <v>709</v>
      </c>
      <c r="H34" s="19" t="s">
        <v>62</v>
      </c>
      <c r="I34" s="209" t="s">
        <v>63</v>
      </c>
    </row>
    <row r="35" ht="57">
      <c r="A35" s="650"/>
      <c r="B35" s="534"/>
      <c r="C35" s="101">
        <v>16</v>
      </c>
      <c r="D35" s="82" t="s">
        <v>72</v>
      </c>
      <c r="E35" s="707">
        <v>0</v>
      </c>
      <c r="F35" s="707" t="s">
        <v>161</v>
      </c>
      <c r="G35" s="205" t="s">
        <v>709</v>
      </c>
      <c r="H35" s="19" t="s">
        <v>62</v>
      </c>
      <c r="I35" s="209" t="s">
        <v>66</v>
      </c>
    </row>
    <row r="36" ht="213.75">
      <c r="A36" s="650"/>
      <c r="B36" s="534"/>
      <c r="C36" s="101">
        <v>17</v>
      </c>
      <c r="D36" s="205" t="s">
        <v>88</v>
      </c>
      <c r="E36" s="712">
        <v>0.80000000000000004</v>
      </c>
      <c r="F36" s="97" t="s">
        <v>24</v>
      </c>
      <c r="G36" s="82" t="s">
        <v>710</v>
      </c>
      <c r="H36" s="209" t="s">
        <v>62</v>
      </c>
      <c r="I36" s="209" t="s">
        <v>66</v>
      </c>
    </row>
    <row r="37" ht="142.5">
      <c r="A37" s="650"/>
      <c r="B37" s="534"/>
      <c r="C37" s="101">
        <v>18</v>
      </c>
      <c r="D37" s="206" t="s">
        <v>93</v>
      </c>
      <c r="E37" s="380">
        <v>0.93000000000000005</v>
      </c>
      <c r="F37" s="381" t="s">
        <v>30</v>
      </c>
      <c r="G37" s="82" t="s">
        <v>711</v>
      </c>
      <c r="H37" s="209" t="s">
        <v>62</v>
      </c>
      <c r="I37" s="209" t="s">
        <v>66</v>
      </c>
    </row>
    <row r="38" ht="57">
      <c r="A38" s="650"/>
      <c r="B38" s="534"/>
      <c r="C38" s="101">
        <v>19</v>
      </c>
      <c r="D38" s="82" t="s">
        <v>80</v>
      </c>
      <c r="E38" s="707">
        <v>0</v>
      </c>
      <c r="F38" s="707" t="s">
        <v>161</v>
      </c>
      <c r="G38" s="205" t="s">
        <v>709</v>
      </c>
      <c r="H38" s="209" t="s">
        <v>62</v>
      </c>
      <c r="I38" s="209" t="s">
        <v>70</v>
      </c>
    </row>
    <row r="39" ht="185.25">
      <c r="A39" s="650"/>
      <c r="B39" s="534"/>
      <c r="C39" s="101">
        <v>20</v>
      </c>
      <c r="D39" s="82" t="s">
        <v>91</v>
      </c>
      <c r="E39" s="380">
        <v>0.89000000000000001</v>
      </c>
      <c r="F39" s="381" t="s">
        <v>30</v>
      </c>
      <c r="G39" s="82" t="s">
        <v>712</v>
      </c>
      <c r="H39" s="209" t="s">
        <v>62</v>
      </c>
      <c r="I39" s="209" t="s">
        <v>70</v>
      </c>
    </row>
    <row r="40" ht="28.5">
      <c r="A40" s="650"/>
      <c r="B40" s="534"/>
      <c r="C40" s="101">
        <v>21</v>
      </c>
      <c r="D40" s="82" t="s">
        <v>92</v>
      </c>
      <c r="E40" s="707">
        <v>0</v>
      </c>
      <c r="F40" s="707" t="s">
        <v>161</v>
      </c>
      <c r="G40" s="82" t="s">
        <v>713</v>
      </c>
      <c r="H40" s="19" t="s">
        <v>62</v>
      </c>
      <c r="I40" s="209" t="s">
        <v>63</v>
      </c>
    </row>
    <row r="41" ht="85.5">
      <c r="A41" s="650"/>
      <c r="B41" s="534"/>
      <c r="C41" s="311">
        <v>22</v>
      </c>
      <c r="D41" s="82" t="s">
        <v>74</v>
      </c>
      <c r="E41" s="707">
        <v>0</v>
      </c>
      <c r="F41" s="707" t="s">
        <v>161</v>
      </c>
      <c r="G41" s="205" t="s">
        <v>714</v>
      </c>
      <c r="H41" s="19" t="s">
        <v>62</v>
      </c>
      <c r="I41" s="68" t="s">
        <v>63</v>
      </c>
    </row>
    <row r="42" ht="57">
      <c r="A42" s="650"/>
      <c r="B42" s="534"/>
      <c r="C42" s="311">
        <v>23</v>
      </c>
      <c r="D42" s="82" t="s">
        <v>84</v>
      </c>
      <c r="E42" s="380">
        <v>0.89000000000000001</v>
      </c>
      <c r="F42" s="485" t="s">
        <v>30</v>
      </c>
      <c r="G42" s="82" t="s">
        <v>715</v>
      </c>
      <c r="H42" s="19" t="s">
        <v>62</v>
      </c>
      <c r="I42" s="68" t="s">
        <v>70</v>
      </c>
    </row>
    <row r="43" ht="156.75">
      <c r="A43" s="650"/>
      <c r="B43" s="534"/>
      <c r="C43" s="101">
        <v>24</v>
      </c>
      <c r="D43" s="82" t="s">
        <v>77</v>
      </c>
      <c r="E43" s="707">
        <v>0</v>
      </c>
      <c r="F43" s="707" t="s">
        <v>161</v>
      </c>
      <c r="G43" s="205" t="s">
        <v>709</v>
      </c>
      <c r="H43" s="19" t="s">
        <v>62</v>
      </c>
      <c r="I43" s="209" t="s">
        <v>70</v>
      </c>
    </row>
    <row r="44" ht="28.5">
      <c r="A44" s="650"/>
      <c r="B44" s="534"/>
      <c r="C44" s="101">
        <v>25</v>
      </c>
      <c r="D44" s="82" t="s">
        <v>76</v>
      </c>
      <c r="E44" s="707">
        <v>0</v>
      </c>
      <c r="F44" s="707" t="s">
        <v>161</v>
      </c>
      <c r="G44" s="205" t="s">
        <v>709</v>
      </c>
      <c r="H44" s="19" t="s">
        <v>62</v>
      </c>
      <c r="I44" s="209" t="s">
        <v>70</v>
      </c>
    </row>
    <row r="45" ht="42.75">
      <c r="A45" s="652"/>
      <c r="B45" s="538"/>
      <c r="C45" s="101">
        <v>26</v>
      </c>
      <c r="D45" s="205" t="s">
        <v>96</v>
      </c>
      <c r="E45" s="380">
        <v>0.95999999999999996</v>
      </c>
      <c r="F45" s="485" t="s">
        <v>30</v>
      </c>
      <c r="G45" s="82" t="s">
        <v>716</v>
      </c>
      <c r="H45" s="19" t="s">
        <v>62</v>
      </c>
      <c r="I45" s="209" t="s">
        <v>66</v>
      </c>
    </row>
    <row r="46" ht="14.25">
      <c r="E46" s="323">
        <f>(E20+E21+E22+E23+E24+E25+E26+E27+E28+E29+E30+E31+E32+E33+E34+E35+E36+E37+E38+E39+E40+E41+E42+E43+E44+E45)/26</f>
        <v>0.42961538461538468</v>
      </c>
    </row>
    <row r="47" ht="15">
      <c r="A47" s="302" t="s">
        <v>193</v>
      </c>
      <c r="B47" s="300"/>
      <c r="C47" s="300"/>
      <c r="D47" s="300"/>
      <c r="E47" s="300"/>
      <c r="F47" s="300"/>
      <c r="G47" s="300"/>
      <c r="H47" s="300"/>
      <c r="I47" s="300"/>
    </row>
    <row r="48" ht="15">
      <c r="A48" s="325"/>
      <c r="B48" s="325"/>
      <c r="C48" s="325"/>
      <c r="D48" s="325"/>
      <c r="E48" s="325"/>
      <c r="F48" s="325"/>
      <c r="G48" s="325"/>
      <c r="H48" s="325"/>
      <c r="I48" s="325"/>
    </row>
    <row r="49" ht="58.5" customHeight="1">
      <c r="A49" s="176" t="s">
        <v>597</v>
      </c>
      <c r="B49" s="168" t="s">
        <v>689</v>
      </c>
      <c r="C49" s="169"/>
      <c r="D49" s="170"/>
      <c r="E49" s="387">
        <v>0.42999999999999999</v>
      </c>
      <c r="F49" s="361" t="s">
        <v>24</v>
      </c>
      <c r="G49" s="72" t="s">
        <v>717</v>
      </c>
      <c r="H49" s="73"/>
      <c r="I49" s="74"/>
    </row>
    <row r="50" ht="14.25"/>
  </sheetData>
  <mergeCells count="11">
    <mergeCell ref="E2:F2"/>
    <mergeCell ref="A3:A11"/>
    <mergeCell ref="B3:B11"/>
    <mergeCell ref="B15:D15"/>
    <mergeCell ref="G15:I15"/>
    <mergeCell ref="A17:I17"/>
    <mergeCell ref="E19:F19"/>
    <mergeCell ref="A20:A45"/>
    <mergeCell ref="B20:B45"/>
    <mergeCell ref="B49:D49"/>
    <mergeCell ref="G49:I49"/>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5D00CF-00F2-4E8A-90E0-0021006B00B7}">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ше среднего" id="{00E800FB-00B4-4541-A3D3-008000DF0036}">
            <xm:f>NOT(ISERROR(SEARCH("Выше среднего",D9)))</xm:f>
            <x14:dxf>
              <fill>
                <patternFill patternType="solid">
                  <fgColor rgb="FFA9D08D"/>
                  <bgColor rgb="FFA9D08D"/>
                </patternFill>
              </fill>
            </x14:dxf>
          </x14:cfRule>
          <xm:sqref>F17</xm:sqref>
        </x14:conditionalFormatting>
        <x14:conditionalFormatting xmlns:xm="http://schemas.microsoft.com/office/excel/2006/main">
          <x14:cfRule type="containsText" priority="6" text="Высокий уровень" id="{000E00DB-00A1-4A1E-B185-002C00FA0021}">
            <xm:f>NOT(ISERROR(SEARCH("Высокий уровень",D9)))</xm:f>
            <x14:dxf>
              <fill>
                <patternFill patternType="solid">
                  <fgColor rgb="FF70AD47"/>
                  <bgColor rgb="FF70AD47"/>
                </patternFill>
              </fill>
            </x14:dxf>
          </x14:cfRule>
          <xm:sqref>F18</xm:sqref>
        </x14:conditionalFormatting>
        <x14:conditionalFormatting xmlns:xm="http://schemas.microsoft.com/office/excel/2006/main">
          <x14:cfRule type="containsText" priority="6" text="Высокий уровень" id="{0042003D-0046-4B8B-8A39-00F10011002F}">
            <xm:f>NOT(ISERROR(SEARCH("Высокий уровень",D9)))</xm:f>
            <x14:dxf>
              <fill>
                <patternFill patternType="solid">
                  <fgColor rgb="FF70AD47"/>
                  <bgColor rgb="FF70AD47"/>
                </patternFill>
              </fill>
            </x14:dxf>
          </x14:cfRule>
          <xm:sqref>F47</xm:sqref>
        </x14:conditionalFormatting>
        <x14:conditionalFormatting xmlns:xm="http://schemas.microsoft.com/office/excel/2006/main">
          <x14:cfRule type="containsText" priority="6" text="Высокий уровень" id="{00870099-002D-4751-B3E5-005E005F00B1}">
            <xm:f>NOT(ISERROR(SEARCH("Высокий уровень",D9)))</xm:f>
            <x14:dxf>
              <fill>
                <patternFill patternType="solid">
                  <fgColor rgb="FF70AD47"/>
                  <bgColor rgb="FF70AD47"/>
                </patternFill>
              </fill>
            </x14:dxf>
          </x14:cfRule>
          <xm:sqref>F49</xm:sqref>
        </x14:conditionalFormatting>
        <x14:conditionalFormatting xmlns:xm="http://schemas.microsoft.com/office/excel/2006/main">
          <x14:cfRule type="containsText" priority="6" text="Высокий уровень" id="{00EF0036-009C-47CE-A8A1-00A00019000D}">
            <xm:f>NOT(ISERROR(SEARCH("Высокий уровень",D9)))</xm:f>
            <x14:dxf>
              <fill>
                <patternFill patternType="solid">
                  <fgColor rgb="FF70AD47"/>
                  <bgColor rgb="FF70AD47"/>
                </patternFill>
              </fill>
            </x14:dxf>
          </x14:cfRule>
          <xm:sqref>F49</xm:sqref>
        </x14:conditionalFormatting>
        <x14:conditionalFormatting xmlns:xm="http://schemas.microsoft.com/office/excel/2006/main">
          <x14:cfRule type="containsText" priority="6" text="Высокий уровень" id="{003200C3-0032-4A03-B35A-005700620096}">
            <xm:f>NOT(ISERROR(SEARCH("Высокий уровень",D9)))</xm:f>
            <x14:dxf>
              <fill>
                <patternFill patternType="solid">
                  <fgColor rgb="FF70AD47"/>
                  <bgColor rgb="FF70AD47"/>
                </patternFill>
              </fill>
            </x14:dxf>
          </x14:cfRule>
          <xm:sqref>F49</xm:sqref>
        </x14:conditionalFormatting>
        <x14:conditionalFormatting xmlns:xm="http://schemas.microsoft.com/office/excel/2006/main">
          <x14:cfRule type="containsText" priority="5" text="Выше среднего" id="{00AC0011-003D-4CFA-80C6-00FF00B40043}">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Средний уровень" id="{00A90074-0081-419C-83F4-00E8006F009C}">
            <xm:f>NOT(ISERROR(SEARCH("Средний уровень",D9)))</xm:f>
            <x14:dxf>
              <font>
                <color theme="1" tint="0"/>
              </font>
              <fill>
                <patternFill patternType="solid">
                  <fgColor indexed="5"/>
                  <bgColor indexed="5"/>
                </patternFill>
              </fill>
            </x14:dxf>
          </x14:cfRule>
          <xm:sqref>F17</xm:sqref>
        </x14:conditionalFormatting>
        <x14:conditionalFormatting xmlns:xm="http://schemas.microsoft.com/office/excel/2006/main">
          <x14:cfRule type="containsText" priority="5" text="Выше среднего" id="{00470058-002D-46B1-8496-00F70015009A}">
            <xm:f>NOT(ISERROR(SEARCH("Выше среднего",D9)))</xm:f>
            <x14:dxf>
              <fill>
                <patternFill patternType="solid">
                  <fgColor rgb="FFA9D08D"/>
                  <bgColor rgb="FFA9D08D"/>
                </patternFill>
              </fill>
            </x14:dxf>
          </x14:cfRule>
          <xm:sqref>F18</xm:sqref>
        </x14:conditionalFormatting>
        <x14:conditionalFormatting xmlns:xm="http://schemas.microsoft.com/office/excel/2006/main">
          <x14:cfRule type="containsText" priority="5" text="Выше среднего" id="{002400C5-00BF-40E1-AEFD-00FC00AF008F}">
            <xm:f>NOT(ISERROR(SEARCH("Выше среднего",D9)))</xm:f>
            <x14:dxf>
              <fill>
                <patternFill patternType="solid">
                  <fgColor rgb="FFA9D08D"/>
                  <bgColor rgb="FFA9D08D"/>
                </patternFill>
              </fill>
            </x14:dxf>
          </x14:cfRule>
          <xm:sqref>F47</xm:sqref>
        </x14:conditionalFormatting>
        <x14:conditionalFormatting xmlns:xm="http://schemas.microsoft.com/office/excel/2006/main">
          <x14:cfRule type="containsText" priority="5" text="Выше среднего" id="{009E001A-0004-4E02-A990-00F300C50074}">
            <xm:f>NOT(ISERROR(SEARCH("Выше среднего",D9)))</xm:f>
            <x14:dxf>
              <fill>
                <patternFill patternType="solid">
                  <fgColor rgb="FFA9D08D"/>
                  <bgColor rgb="FFA9D08D"/>
                </patternFill>
              </fill>
            </x14:dxf>
          </x14:cfRule>
          <xm:sqref>F49</xm:sqref>
        </x14:conditionalFormatting>
        <x14:conditionalFormatting xmlns:xm="http://schemas.microsoft.com/office/excel/2006/main">
          <x14:cfRule type="containsText" priority="5" text="Выше среднего" id="{001E00B9-00FF-4083-AEDA-008B00020073}">
            <xm:f>NOT(ISERROR(SEARCH("Выше среднего",D9)))</xm:f>
            <x14:dxf>
              <fill>
                <patternFill patternType="solid">
                  <fgColor rgb="FFA9D08D"/>
                  <bgColor rgb="FFA9D08D"/>
                </patternFill>
              </fill>
            </x14:dxf>
          </x14:cfRule>
          <xm:sqref>F49</xm:sqref>
        </x14:conditionalFormatting>
        <x14:conditionalFormatting xmlns:xm="http://schemas.microsoft.com/office/excel/2006/main">
          <x14:cfRule type="containsText" priority="5" text="Выше среднего" id="{006D000D-00DE-4ADE-A85C-008600B00014}">
            <xm:f>NOT(ISERROR(SEARCH("Выше среднего",D9)))</xm:f>
            <x14:dxf>
              <fill>
                <patternFill patternType="solid">
                  <fgColor rgb="FFA9D08D"/>
                  <bgColor rgb="FFA9D08D"/>
                </patternFill>
              </fill>
            </x14:dxf>
          </x14:cfRule>
          <xm:sqref>F49</xm:sqref>
        </x14:conditionalFormatting>
        <x14:conditionalFormatting xmlns:xm="http://schemas.microsoft.com/office/excel/2006/main">
          <x14:cfRule type="containsText" priority="4" text="Средний уровень" id="{003D0093-00C6-4FC9-BD40-00000009008D}">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Ниже среднего" id="{00FD002B-00C6-4D8A-8C5C-00AB0086008B}">
            <xm:f>NOT(ISERROR(SEARCH("Ниже среднего",D9)))</xm:f>
            <x14:dxf>
              <fill>
                <patternFill patternType="solid">
                  <fgColor rgb="FFED7D31"/>
                  <bgColor rgb="FFED7D31"/>
                </patternFill>
              </fill>
            </x14:dxf>
          </x14:cfRule>
          <xm:sqref>F17</xm:sqref>
        </x14:conditionalFormatting>
        <x14:conditionalFormatting xmlns:xm="http://schemas.microsoft.com/office/excel/2006/main">
          <x14:cfRule type="containsText" priority="4" text="Средний уровень" id="{00CA006A-00C5-47B5-879A-000C00B600C8}">
            <xm:f>NOT(ISERROR(SEARCH("Средний уровень",D9)))</xm:f>
            <x14:dxf>
              <font>
                <color theme="1" tint="0"/>
              </font>
              <fill>
                <patternFill patternType="solid">
                  <fgColor indexed="5"/>
                  <bgColor indexed="5"/>
                </patternFill>
              </fill>
            </x14:dxf>
          </x14:cfRule>
          <xm:sqref>F18</xm:sqref>
        </x14:conditionalFormatting>
        <x14:conditionalFormatting xmlns:xm="http://schemas.microsoft.com/office/excel/2006/main">
          <x14:cfRule type="containsText" priority="4" text="Средний уровень" id="{005C00C1-009C-45CF-A37F-008F00F00076}">
            <xm:f>NOT(ISERROR(SEARCH("Средний уровень",D9)))</xm:f>
            <x14:dxf>
              <font>
                <color theme="1" tint="0"/>
              </font>
              <fill>
                <patternFill patternType="solid">
                  <fgColor indexed="5"/>
                  <bgColor indexed="5"/>
                </patternFill>
              </fill>
            </x14:dxf>
          </x14:cfRule>
          <xm:sqref>F47</xm:sqref>
        </x14:conditionalFormatting>
        <x14:conditionalFormatting xmlns:xm="http://schemas.microsoft.com/office/excel/2006/main">
          <x14:cfRule type="containsText" priority="4" text="Средний уровень" id="{001300AC-005E-4588-9061-00CB00C200A6}">
            <xm:f>NOT(ISERROR(SEARCH("Средний уровень",D9)))</xm:f>
            <x14:dxf>
              <font>
                <color theme="1" tint="0"/>
              </font>
              <fill>
                <patternFill patternType="solid">
                  <fgColor indexed="5"/>
                  <bgColor indexed="5"/>
                </patternFill>
              </fill>
            </x14:dxf>
          </x14:cfRule>
          <xm:sqref>F49</xm:sqref>
        </x14:conditionalFormatting>
        <x14:conditionalFormatting xmlns:xm="http://schemas.microsoft.com/office/excel/2006/main">
          <x14:cfRule type="containsText" priority="4" text="Средний уровень" id="{00E6006B-00CB-4B1D-A95D-00A0005700E4}">
            <xm:f>NOT(ISERROR(SEARCH("Средний уровень",D9)))</xm:f>
            <x14:dxf>
              <font>
                <color theme="1" tint="0"/>
              </font>
              <fill>
                <patternFill patternType="solid">
                  <fgColor indexed="5"/>
                  <bgColor indexed="5"/>
                </patternFill>
              </fill>
            </x14:dxf>
          </x14:cfRule>
          <xm:sqref>F49</xm:sqref>
        </x14:conditionalFormatting>
        <x14:conditionalFormatting xmlns:xm="http://schemas.microsoft.com/office/excel/2006/main">
          <x14:cfRule type="containsText" priority="4" text="Средний уровень" id="{00B30000-009C-4D3D-AD1C-003200770081}">
            <xm:f>NOT(ISERROR(SEARCH("Средний уровень",D9)))</xm:f>
            <x14:dxf>
              <font>
                <color theme="1" tint="0"/>
              </font>
              <fill>
                <patternFill patternType="solid">
                  <fgColor indexed="5"/>
                  <bgColor indexed="5"/>
                </patternFill>
              </fill>
            </x14:dxf>
          </x14:cfRule>
          <xm:sqref>F49</xm:sqref>
        </x14:conditionalFormatting>
        <x14:conditionalFormatting xmlns:xm="http://schemas.microsoft.com/office/excel/2006/main">
          <x14:cfRule type="containsText" priority="3" text="Ниже среднего" id="{00D200B8-00C8-402C-896C-00070090008C}">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зкий уровень" id="{00C50025-00ED-4FE1-962B-00410083008A}">
            <xm:f>NOT(ISERROR(SEARCH("Низкий уровень",D9)))</xm:f>
            <x14:dxf>
              <fill>
                <patternFill patternType="solid">
                  <fgColor indexed="2"/>
                  <bgColor indexed="2"/>
                </patternFill>
              </fill>
            </x14:dxf>
          </x14:cfRule>
          <xm:sqref>F17</xm:sqref>
        </x14:conditionalFormatting>
        <x14:conditionalFormatting xmlns:xm="http://schemas.microsoft.com/office/excel/2006/main">
          <x14:cfRule type="containsText" priority="3" text="Ниже среднего" id="{00110048-009E-4590-B804-003300C50045}">
            <xm:f>NOT(ISERROR(SEARCH("Ниже среднего",D9)))</xm:f>
            <x14:dxf>
              <fill>
                <patternFill patternType="solid">
                  <fgColor rgb="FFED7D31"/>
                  <bgColor rgb="FFED7D31"/>
                </patternFill>
              </fill>
            </x14:dxf>
          </x14:cfRule>
          <xm:sqref>F18</xm:sqref>
        </x14:conditionalFormatting>
        <x14:conditionalFormatting xmlns:xm="http://schemas.microsoft.com/office/excel/2006/main">
          <x14:cfRule type="containsText" priority="3" text="Ниже среднего" id="{00A30005-0048-4C16-BF35-0048007A0015}">
            <xm:f>NOT(ISERROR(SEARCH("Ниже среднего",D9)))</xm:f>
            <x14:dxf>
              <fill>
                <patternFill patternType="solid">
                  <fgColor rgb="FFED7D31"/>
                  <bgColor rgb="FFED7D31"/>
                </patternFill>
              </fill>
            </x14:dxf>
          </x14:cfRule>
          <xm:sqref>F47</xm:sqref>
        </x14:conditionalFormatting>
        <x14:conditionalFormatting xmlns:xm="http://schemas.microsoft.com/office/excel/2006/main">
          <x14:cfRule type="containsText" priority="3" text="Ниже среднего" id="{005F00D7-00B6-46D5-9E97-00FE000C00D8}">
            <xm:f>NOT(ISERROR(SEARCH("Ниже среднего",D9)))</xm:f>
            <x14:dxf>
              <fill>
                <patternFill patternType="solid">
                  <fgColor rgb="FFED7D31"/>
                  <bgColor rgb="FFED7D31"/>
                </patternFill>
              </fill>
            </x14:dxf>
          </x14:cfRule>
          <xm:sqref>F49</xm:sqref>
        </x14:conditionalFormatting>
        <x14:conditionalFormatting xmlns:xm="http://schemas.microsoft.com/office/excel/2006/main">
          <x14:cfRule type="containsText" priority="3" text="Ниже среднего" id="{004B00DF-0097-4106-9F44-007200190039}">
            <xm:f>NOT(ISERROR(SEARCH("Ниже среднего",D9)))</xm:f>
            <x14:dxf>
              <fill>
                <patternFill patternType="solid">
                  <fgColor rgb="FFED7D31"/>
                  <bgColor rgb="FFED7D31"/>
                </patternFill>
              </fill>
            </x14:dxf>
          </x14:cfRule>
          <xm:sqref>F49</xm:sqref>
        </x14:conditionalFormatting>
        <x14:conditionalFormatting xmlns:xm="http://schemas.microsoft.com/office/excel/2006/main">
          <x14:cfRule type="containsText" priority="3" text="Ниже среднего" id="{00C600FF-00F6-4BB0-AD37-00AE0012005D}">
            <xm:f>NOT(ISERROR(SEARCH("Ниже среднего",D9)))</xm:f>
            <x14:dxf>
              <fill>
                <patternFill patternType="solid">
                  <fgColor rgb="FFED7D31"/>
                  <bgColor rgb="FFED7D31"/>
                </patternFill>
              </fill>
            </x14:dxf>
          </x14:cfRule>
          <xm:sqref>F49</xm:sqref>
        </x14:conditionalFormatting>
        <x14:conditionalFormatting xmlns:xm="http://schemas.microsoft.com/office/excel/2006/main">
          <x14:cfRule type="containsText" priority="2" text="Низкий уровень" id="{0068002A-001E-458F-8CA7-001800470071}">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евозможно измерить" id="{0019005F-0044-48DF-8041-006D0029002A}">
            <xm:f>NOT(ISERROR(SEARCH("Невозможно измерить",D9)))</xm:f>
            <x14:dxf>
              <fill>
                <patternFill patternType="solid">
                  <fgColor rgb="FF7F7F7F"/>
                  <bgColor rgb="FF7F7F7F"/>
                </patternFill>
              </fill>
            </x14:dxf>
          </x14:cfRule>
          <xm:sqref>F17</xm:sqref>
        </x14:conditionalFormatting>
        <x14:conditionalFormatting xmlns:xm="http://schemas.microsoft.com/office/excel/2006/main">
          <x14:cfRule type="containsText" priority="2" text="Низкий уровень" id="{00C500AF-0013-4B68-A0E5-003300D1005D}">
            <xm:f>NOT(ISERROR(SEARCH("Низкий уровень",D9)))</xm:f>
            <x14:dxf>
              <fill>
                <patternFill patternType="solid">
                  <fgColor indexed="2"/>
                  <bgColor indexed="2"/>
                </patternFill>
              </fill>
            </x14:dxf>
          </x14:cfRule>
          <xm:sqref>F18</xm:sqref>
        </x14:conditionalFormatting>
        <x14:conditionalFormatting xmlns:xm="http://schemas.microsoft.com/office/excel/2006/main">
          <x14:cfRule type="containsText" priority="2" text="Низкий уровень" id="{00C5009C-00B2-4F54-A941-00B3005D0025}">
            <xm:f>NOT(ISERROR(SEARCH("Низкий уровень",D9)))</xm:f>
            <x14:dxf>
              <fill>
                <patternFill patternType="solid">
                  <fgColor indexed="2"/>
                  <bgColor indexed="2"/>
                </patternFill>
              </fill>
            </x14:dxf>
          </x14:cfRule>
          <xm:sqref>F47</xm:sqref>
        </x14:conditionalFormatting>
        <x14:conditionalFormatting xmlns:xm="http://schemas.microsoft.com/office/excel/2006/main">
          <x14:cfRule type="containsText" priority="2" text="Низкий уровень" id="{00FD00F0-0077-40D2-9859-004C00B400F9}">
            <xm:f>NOT(ISERROR(SEARCH("Низкий уровень",D9)))</xm:f>
            <x14:dxf>
              <fill>
                <patternFill patternType="solid">
                  <fgColor indexed="2"/>
                  <bgColor indexed="2"/>
                </patternFill>
              </fill>
            </x14:dxf>
          </x14:cfRule>
          <xm:sqref>F49</xm:sqref>
        </x14:conditionalFormatting>
        <x14:conditionalFormatting xmlns:xm="http://schemas.microsoft.com/office/excel/2006/main">
          <x14:cfRule type="containsText" priority="2" text="Низкий уровень" id="{00FF0098-005B-40A2-BE0A-00FC005D00A0}">
            <xm:f>NOT(ISERROR(SEARCH("Низкий уровень",D9)))</xm:f>
            <x14:dxf>
              <fill>
                <patternFill patternType="solid">
                  <fgColor indexed="2"/>
                  <bgColor indexed="2"/>
                </patternFill>
              </fill>
            </x14:dxf>
          </x14:cfRule>
          <xm:sqref>F49</xm:sqref>
        </x14:conditionalFormatting>
        <x14:conditionalFormatting xmlns:xm="http://schemas.microsoft.com/office/excel/2006/main">
          <x14:cfRule type="containsText" priority="2" text="Низкий уровень" id="{0004005A-0013-4FDF-82BA-006300CC002C}">
            <xm:f>NOT(ISERROR(SEARCH("Низкий уровень",D9)))</xm:f>
            <x14:dxf>
              <fill>
                <patternFill patternType="solid">
                  <fgColor indexed="2"/>
                  <bgColor indexed="2"/>
                </patternFill>
              </fill>
            </x14:dxf>
          </x14:cfRule>
          <xm:sqref>F49</xm:sqref>
        </x14:conditionalFormatting>
        <x14:conditionalFormatting xmlns:xm="http://schemas.microsoft.com/office/excel/2006/main">
          <x14:cfRule type="containsText" priority="1" text="Невозможно измерить" id="{00B80089-0076-4DBF-94CB-00DA000D0070}">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ED00FA-0031-404D-A9CE-004100D6002B}">
            <xm:f>NOT(ISERROR(SEARCH("Невозможно измерить",D9)))</xm:f>
            <x14:dxf>
              <fill>
                <patternFill patternType="solid">
                  <fgColor rgb="FF7F7F7F"/>
                  <bgColor rgb="FF7F7F7F"/>
                </patternFill>
              </fill>
            </x14:dxf>
          </x14:cfRule>
          <xm:sqref>F18</xm:sqref>
        </x14:conditionalFormatting>
        <x14:conditionalFormatting xmlns:xm="http://schemas.microsoft.com/office/excel/2006/main">
          <x14:cfRule type="containsText" priority="1" text="Невозможно измерить" id="{007F0030-0005-4C52-A5E1-006C00F7008F}">
            <xm:f>NOT(ISERROR(SEARCH("Невозможно измерить",D9)))</xm:f>
            <x14:dxf>
              <fill>
                <patternFill patternType="solid">
                  <fgColor rgb="FF7F7F7F"/>
                  <bgColor rgb="FF7F7F7F"/>
                </patternFill>
              </fill>
            </x14:dxf>
          </x14:cfRule>
          <xm:sqref>F47</xm:sqref>
        </x14:conditionalFormatting>
        <x14:conditionalFormatting xmlns:xm="http://schemas.microsoft.com/office/excel/2006/main">
          <x14:cfRule type="containsText" priority="1" text="Невозможно измерить" id="{001700B4-006E-43A7-9095-0014009400D1}">
            <xm:f>NOT(ISERROR(SEARCH("Невозможно измерить",D9)))</xm:f>
            <x14:dxf>
              <fill>
                <patternFill patternType="solid">
                  <fgColor rgb="FF7F7F7F"/>
                  <bgColor rgb="FF7F7F7F"/>
                </patternFill>
              </fill>
            </x14:dxf>
          </x14:cfRule>
          <xm:sqref>F49</xm:sqref>
        </x14:conditionalFormatting>
        <x14:conditionalFormatting xmlns:xm="http://schemas.microsoft.com/office/excel/2006/main">
          <x14:cfRule type="containsText" priority="1" text="Невозможно измерить" id="{003000F4-0065-4405-BFD4-00DC008F007C}">
            <xm:f>NOT(ISERROR(SEARCH("Невозможно измерить",D9)))</xm:f>
            <x14:dxf>
              <fill>
                <patternFill patternType="solid">
                  <fgColor rgb="FF7F7F7F"/>
                  <bgColor rgb="FF7F7F7F"/>
                </patternFill>
              </fill>
            </x14:dxf>
          </x14:cfRule>
          <xm:sqref>F49</xm:sqref>
        </x14:conditionalFormatting>
        <x14:conditionalFormatting xmlns:xm="http://schemas.microsoft.com/office/excel/2006/main">
          <x14:cfRule type="containsText" priority="1" text="Невозможно измерить" id="{00F50075-0028-4266-A415-002E0035003B}">
            <xm:f>NOT(ISERROR(SEARCH("Невозможно измерить",D9)))</xm:f>
            <x14:dxf>
              <fill>
                <patternFill patternType="solid">
                  <fgColor rgb="FF7F7F7F"/>
                  <bgColor rgb="FF7F7F7F"/>
                </patternFill>
              </fill>
            </x14:dxf>
          </x14:cfRule>
          <xm:sqref>F49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2" zoomScale="100" workbookViewId="0">
      <selection activeCell="A1" activeCellId="0" sqref="A1"/>
    </sheetView>
  </sheetViews>
  <sheetFormatPr defaultRowHeight="14.25"/>
  <cols>
    <col customWidth="1" min="1" max="1" width="14.8515625"/>
    <col customWidth="1" min="2" max="3" width="16.7109375"/>
    <col customWidth="1" min="4" max="4" width="6.28125"/>
    <col customWidth="1" min="5" max="5" width="18.8515625"/>
    <col customWidth="1" min="6" max="6" width="14.7109375"/>
    <col customWidth="1" min="7" max="7" width="14.00390625"/>
    <col customWidth="1" min="8" max="8" width="87.00390625"/>
    <col customWidth="1" min="10" max="10" width="15.140625"/>
    <col customWidth="1" min="11" max="11" width="32.7109375"/>
  </cols>
  <sheetData>
    <row r="1" ht="15">
      <c r="A1" s="495" t="s">
        <v>153</v>
      </c>
      <c r="B1" s="495"/>
      <c r="C1" s="495"/>
      <c r="D1" s="495"/>
      <c r="E1" s="614"/>
      <c r="F1" s="614"/>
      <c r="G1" s="614"/>
      <c r="H1" s="614"/>
      <c r="I1" s="614"/>
      <c r="J1" s="614"/>
    </row>
    <row r="2" ht="30">
      <c r="A2" s="285" t="s">
        <v>154</v>
      </c>
      <c r="B2" s="285" t="s">
        <v>154</v>
      </c>
      <c r="C2" s="285" t="s">
        <v>127</v>
      </c>
      <c r="D2" s="285" t="s">
        <v>196</v>
      </c>
      <c r="E2" s="223" t="s">
        <v>155</v>
      </c>
      <c r="F2" s="221" t="s">
        <v>8</v>
      </c>
      <c r="G2" s="222"/>
      <c r="H2" s="223" t="s">
        <v>156</v>
      </c>
      <c r="I2" s="529" t="s">
        <v>230</v>
      </c>
      <c r="J2" s="713" t="s">
        <v>158</v>
      </c>
    </row>
    <row r="3" ht="129" customHeight="1">
      <c r="A3" s="648" t="s">
        <v>137</v>
      </c>
      <c r="B3" s="225" t="s">
        <v>137</v>
      </c>
      <c r="C3" s="225" t="s">
        <v>718</v>
      </c>
      <c r="D3" s="19">
        <v>1</v>
      </c>
      <c r="E3" s="261" t="s">
        <v>29</v>
      </c>
      <c r="F3" s="714">
        <v>1</v>
      </c>
      <c r="G3" s="392" t="s">
        <v>30</v>
      </c>
      <c r="H3" s="176" t="s">
        <v>719</v>
      </c>
      <c r="I3" s="292" t="s">
        <v>14</v>
      </c>
      <c r="J3" s="147" t="s">
        <v>15</v>
      </c>
    </row>
    <row r="4" ht="135" customHeight="1">
      <c r="A4" s="650"/>
      <c r="B4" s="231"/>
      <c r="C4" s="231"/>
      <c r="D4" s="19">
        <v>2</v>
      </c>
      <c r="E4" s="261" t="s">
        <v>26</v>
      </c>
      <c r="F4" s="714">
        <v>1</v>
      </c>
      <c r="G4" s="392" t="s">
        <v>30</v>
      </c>
      <c r="H4" s="396" t="s">
        <v>720</v>
      </c>
      <c r="I4" s="292" t="s">
        <v>14</v>
      </c>
      <c r="J4" s="147" t="s">
        <v>15</v>
      </c>
    </row>
    <row r="5" ht="156.75" customHeight="1">
      <c r="A5" s="650"/>
      <c r="B5" s="231"/>
      <c r="C5" s="231"/>
      <c r="D5" s="19">
        <v>3</v>
      </c>
      <c r="E5" s="261" t="s">
        <v>12</v>
      </c>
      <c r="F5" s="715">
        <v>0.25</v>
      </c>
      <c r="G5" s="596" t="s">
        <v>13</v>
      </c>
      <c r="H5" s="264" t="s">
        <v>721</v>
      </c>
      <c r="I5" s="292" t="s">
        <v>14</v>
      </c>
      <c r="J5" s="147" t="s">
        <v>15</v>
      </c>
    </row>
    <row r="6" ht="187.5" customHeight="1">
      <c r="A6" s="650"/>
      <c r="B6" s="231"/>
      <c r="C6" s="231"/>
      <c r="D6" s="19">
        <v>4</v>
      </c>
      <c r="E6" s="260" t="s">
        <v>20</v>
      </c>
      <c r="F6" s="165">
        <v>0.67000000000000004</v>
      </c>
      <c r="G6" s="165" t="s">
        <v>27</v>
      </c>
      <c r="H6" s="342" t="s">
        <v>722</v>
      </c>
      <c r="I6" s="292" t="s">
        <v>14</v>
      </c>
      <c r="J6" s="147" t="s">
        <v>15</v>
      </c>
      <c r="K6" s="337"/>
      <c r="L6" s="337"/>
      <c r="M6" s="337"/>
      <c r="N6" s="337"/>
      <c r="O6" s="337"/>
      <c r="P6" s="337"/>
    </row>
    <row r="7" ht="160.5" customHeight="1">
      <c r="A7" s="650"/>
      <c r="B7" s="231"/>
      <c r="C7" s="231"/>
      <c r="D7" s="19">
        <v>5</v>
      </c>
      <c r="E7" s="27" t="s">
        <v>23</v>
      </c>
      <c r="F7" s="657">
        <v>1</v>
      </c>
      <c r="G7" s="392" t="s">
        <v>30</v>
      </c>
      <c r="H7" s="347" t="s">
        <v>723</v>
      </c>
      <c r="I7" s="292" t="s">
        <v>14</v>
      </c>
      <c r="J7" s="147" t="s">
        <v>15</v>
      </c>
      <c r="K7" s="337"/>
      <c r="L7" s="337"/>
      <c r="M7" s="337"/>
      <c r="N7" s="337"/>
      <c r="O7" s="337"/>
      <c r="P7" s="337"/>
    </row>
    <row r="8" ht="91.5" customHeight="1">
      <c r="A8" s="650"/>
      <c r="B8" s="231"/>
      <c r="C8" s="231"/>
      <c r="D8" s="19">
        <v>6</v>
      </c>
      <c r="E8" s="261" t="s">
        <v>22</v>
      </c>
      <c r="F8" s="657">
        <v>1</v>
      </c>
      <c r="G8" s="392" t="s">
        <v>30</v>
      </c>
      <c r="H8" s="176" t="s">
        <v>724</v>
      </c>
      <c r="I8" s="292" t="s">
        <v>14</v>
      </c>
      <c r="J8" s="147" t="s">
        <v>15</v>
      </c>
    </row>
    <row r="9" ht="111" customHeight="1">
      <c r="A9" s="650"/>
      <c r="B9" s="231"/>
      <c r="C9" s="231"/>
      <c r="D9" s="19">
        <v>7</v>
      </c>
      <c r="E9" s="261" t="s">
        <v>19</v>
      </c>
      <c r="F9" s="716">
        <v>0.5</v>
      </c>
      <c r="G9" s="304" t="s">
        <v>24</v>
      </c>
      <c r="H9" s="147" t="s">
        <v>725</v>
      </c>
      <c r="I9" s="292" t="s">
        <v>14</v>
      </c>
      <c r="J9" s="147" t="s">
        <v>15</v>
      </c>
    </row>
    <row r="10" ht="141" customHeight="1">
      <c r="A10" s="650"/>
      <c r="B10" s="231"/>
      <c r="C10" s="231"/>
      <c r="D10" s="19">
        <v>8</v>
      </c>
      <c r="E10" s="347" t="s">
        <v>32</v>
      </c>
      <c r="F10" s="657">
        <v>1</v>
      </c>
      <c r="G10" s="392" t="s">
        <v>30</v>
      </c>
      <c r="H10" s="292" t="s">
        <v>726</v>
      </c>
      <c r="I10" s="229" t="s">
        <v>168</v>
      </c>
      <c r="J10" s="147" t="s">
        <v>15</v>
      </c>
    </row>
    <row r="11" ht="99" customHeight="1">
      <c r="A11" s="652"/>
      <c r="B11" s="244"/>
      <c r="C11" s="244"/>
      <c r="D11" s="19">
        <v>9</v>
      </c>
      <c r="E11" s="347" t="s">
        <v>17</v>
      </c>
      <c r="F11" s="657">
        <v>1</v>
      </c>
      <c r="G11" s="392" t="s">
        <v>30</v>
      </c>
      <c r="H11" s="292" t="s">
        <v>529</v>
      </c>
      <c r="I11" s="292" t="s">
        <v>14</v>
      </c>
      <c r="J11" s="147" t="s">
        <v>15</v>
      </c>
    </row>
    <row r="12" ht="32.25" customHeight="1">
      <c r="A12" s="642"/>
      <c r="B12" s="245"/>
      <c r="C12" s="245"/>
      <c r="D12" s="249"/>
      <c r="E12" s="717"/>
      <c r="F12" s="547">
        <f>(F3+F4+F5+F6+F7+F8+F9+F10+F11)/9</f>
        <v>0.82444444444444442</v>
      </c>
      <c r="G12" s="548"/>
      <c r="H12" s="590"/>
      <c r="I12" s="590"/>
      <c r="J12" s="548"/>
    </row>
    <row r="13" ht="15">
      <c r="A13" s="302" t="s">
        <v>193</v>
      </c>
      <c r="B13" s="302"/>
      <c r="C13" s="302"/>
      <c r="D13" s="302"/>
      <c r="E13" s="302"/>
      <c r="F13" s="302"/>
      <c r="G13" s="302"/>
      <c r="H13" s="302"/>
      <c r="I13" s="302"/>
      <c r="J13" s="302"/>
    </row>
    <row r="14" ht="15">
      <c r="A14" s="300"/>
      <c r="B14" s="300"/>
      <c r="C14" s="300"/>
      <c r="D14" s="300"/>
      <c r="E14" s="300"/>
      <c r="F14" s="300"/>
      <c r="G14" s="300"/>
      <c r="H14" s="300"/>
      <c r="I14" s="300"/>
      <c r="J14" s="300"/>
    </row>
    <row r="15" ht="87" customHeight="1">
      <c r="A15" s="176" t="s">
        <v>597</v>
      </c>
      <c r="B15" s="168" t="s">
        <v>727</v>
      </c>
      <c r="C15" s="169"/>
      <c r="D15" s="169"/>
      <c r="E15" s="170"/>
      <c r="F15" s="718">
        <v>0.81999999999999995</v>
      </c>
      <c r="G15" s="719" t="s">
        <v>30</v>
      </c>
      <c r="H15" s="72" t="s">
        <v>728</v>
      </c>
      <c r="I15" s="73"/>
      <c r="J15" s="74"/>
    </row>
    <row r="16" ht="14.25"/>
    <row r="17" ht="15">
      <c r="A17" s="495" t="s">
        <v>729</v>
      </c>
      <c r="B17" s="495"/>
      <c r="C17" s="495"/>
      <c r="D17" s="495"/>
      <c r="E17" s="614"/>
      <c r="F17" s="614"/>
      <c r="G17" s="614"/>
      <c r="H17" s="614"/>
      <c r="I17" s="614"/>
      <c r="J17" s="614"/>
    </row>
    <row r="18" ht="30">
      <c r="A18" s="285" t="s">
        <v>154</v>
      </c>
      <c r="B18" s="285" t="s">
        <v>154</v>
      </c>
      <c r="C18" s="285" t="s">
        <v>127</v>
      </c>
      <c r="D18" s="285" t="s">
        <v>196</v>
      </c>
      <c r="E18" s="223" t="s">
        <v>155</v>
      </c>
      <c r="F18" s="221" t="s">
        <v>8</v>
      </c>
      <c r="G18" s="222"/>
      <c r="H18" s="223" t="s">
        <v>156</v>
      </c>
      <c r="I18" s="529" t="s">
        <v>230</v>
      </c>
      <c r="J18" s="713" t="s">
        <v>158</v>
      </c>
    </row>
    <row r="19" ht="165">
      <c r="A19" s="390" t="s">
        <v>137</v>
      </c>
      <c r="B19" s="225" t="s">
        <v>137</v>
      </c>
      <c r="C19" s="225" t="s">
        <v>718</v>
      </c>
      <c r="D19" s="19">
        <v>1</v>
      </c>
      <c r="E19" s="261" t="s">
        <v>173</v>
      </c>
      <c r="F19" s="720">
        <v>0.75</v>
      </c>
      <c r="G19" s="467" t="s">
        <v>27</v>
      </c>
      <c r="H19" s="176" t="s">
        <v>730</v>
      </c>
      <c r="I19" s="147" t="s">
        <v>62</v>
      </c>
      <c r="J19" s="147" t="s">
        <v>66</v>
      </c>
    </row>
    <row r="20" ht="128.25">
      <c r="A20" s="393"/>
      <c r="B20" s="231"/>
      <c r="C20" s="231"/>
      <c r="D20" s="19">
        <v>2</v>
      </c>
      <c r="E20" s="261" t="s">
        <v>211</v>
      </c>
      <c r="F20" s="651">
        <v>1</v>
      </c>
      <c r="G20" s="392" t="s">
        <v>30</v>
      </c>
      <c r="H20" s="264" t="s">
        <v>731</v>
      </c>
      <c r="I20" s="147" t="s">
        <v>62</v>
      </c>
      <c r="J20" s="261" t="s">
        <v>66</v>
      </c>
    </row>
    <row r="21" ht="114">
      <c r="A21" s="393"/>
      <c r="B21" s="231"/>
      <c r="C21" s="231"/>
      <c r="D21" s="19">
        <v>3</v>
      </c>
      <c r="E21" s="261" t="s">
        <v>104</v>
      </c>
      <c r="F21" s="651">
        <v>1</v>
      </c>
      <c r="G21" s="392" t="s">
        <v>30</v>
      </c>
      <c r="H21" s="264" t="s">
        <v>732</v>
      </c>
      <c r="I21" s="19" t="s">
        <v>62</v>
      </c>
      <c r="J21" s="261" t="s">
        <v>63</v>
      </c>
    </row>
    <row r="22" ht="242.25">
      <c r="A22" s="393"/>
      <c r="B22" s="231"/>
      <c r="C22" s="231"/>
      <c r="D22" s="19">
        <v>4</v>
      </c>
      <c r="E22" s="261" t="s">
        <v>94</v>
      </c>
      <c r="F22" s="453">
        <v>0.80000000000000004</v>
      </c>
      <c r="G22" s="467" t="s">
        <v>27</v>
      </c>
      <c r="H22" s="401" t="s">
        <v>733</v>
      </c>
      <c r="I22" s="19" t="s">
        <v>62</v>
      </c>
      <c r="J22" s="229" t="s">
        <v>66</v>
      </c>
    </row>
    <row r="23" ht="120">
      <c r="A23" s="393"/>
      <c r="B23" s="231"/>
      <c r="C23" s="231"/>
      <c r="D23" s="554">
        <v>5</v>
      </c>
      <c r="E23" s="261" t="s">
        <v>65</v>
      </c>
      <c r="F23" s="513">
        <v>0.5</v>
      </c>
      <c r="G23" s="304" t="s">
        <v>24</v>
      </c>
      <c r="H23" s="396" t="s">
        <v>734</v>
      </c>
      <c r="I23" s="19" t="s">
        <v>62</v>
      </c>
      <c r="J23" s="229" t="s">
        <v>66</v>
      </c>
    </row>
    <row r="24" ht="120">
      <c r="A24" s="393"/>
      <c r="B24" s="231"/>
      <c r="C24" s="231"/>
      <c r="D24" s="554">
        <v>6</v>
      </c>
      <c r="E24" s="261" t="s">
        <v>79</v>
      </c>
      <c r="F24" s="434">
        <v>0.75</v>
      </c>
      <c r="G24" s="434" t="s">
        <v>27</v>
      </c>
      <c r="H24" s="176" t="s">
        <v>735</v>
      </c>
      <c r="I24" s="19" t="s">
        <v>62</v>
      </c>
      <c r="J24" s="243" t="s">
        <v>63</v>
      </c>
    </row>
    <row r="25" ht="165">
      <c r="A25" s="393"/>
      <c r="B25" s="231"/>
      <c r="C25" s="231"/>
      <c r="D25" s="554">
        <v>7</v>
      </c>
      <c r="E25" s="347" t="s">
        <v>100</v>
      </c>
      <c r="F25" s="287">
        <v>1</v>
      </c>
      <c r="G25" s="392" t="s">
        <v>30</v>
      </c>
      <c r="H25" s="268" t="s">
        <v>736</v>
      </c>
      <c r="I25" s="19" t="s">
        <v>62</v>
      </c>
      <c r="J25" s="243" t="s">
        <v>63</v>
      </c>
    </row>
    <row r="26" ht="156.75">
      <c r="A26" s="393"/>
      <c r="B26" s="231"/>
      <c r="C26" s="231"/>
      <c r="D26" s="311">
        <v>8</v>
      </c>
      <c r="E26" s="206" t="s">
        <v>90</v>
      </c>
      <c r="F26" s="287">
        <v>1</v>
      </c>
      <c r="G26" s="392" t="s">
        <v>30</v>
      </c>
      <c r="H26" s="205" t="s">
        <v>737</v>
      </c>
      <c r="I26" s="19" t="s">
        <v>62</v>
      </c>
      <c r="J26" s="243" t="s">
        <v>70</v>
      </c>
    </row>
    <row r="27" ht="128.25">
      <c r="A27" s="393"/>
      <c r="B27" s="231"/>
      <c r="C27" s="231"/>
      <c r="D27" s="311">
        <v>9</v>
      </c>
      <c r="E27" s="82" t="s">
        <v>98</v>
      </c>
      <c r="F27" s="287">
        <v>1</v>
      </c>
      <c r="G27" s="392" t="s">
        <v>30</v>
      </c>
      <c r="H27" s="82" t="s">
        <v>738</v>
      </c>
      <c r="I27" s="19" t="s">
        <v>62</v>
      </c>
      <c r="J27" s="243" t="s">
        <v>70</v>
      </c>
    </row>
    <row r="28" ht="142.5">
      <c r="A28" s="393"/>
      <c r="B28" s="231"/>
      <c r="C28" s="231"/>
      <c r="D28" s="101">
        <v>10</v>
      </c>
      <c r="E28" s="82" t="s">
        <v>82</v>
      </c>
      <c r="F28" s="319">
        <v>1</v>
      </c>
      <c r="G28" s="320" t="s">
        <v>30</v>
      </c>
      <c r="H28" s="82" t="s">
        <v>739</v>
      </c>
      <c r="I28" s="19" t="s">
        <v>62</v>
      </c>
      <c r="J28" s="243" t="s">
        <v>66</v>
      </c>
    </row>
    <row r="29" ht="99.75">
      <c r="A29" s="393"/>
      <c r="B29" s="231"/>
      <c r="C29" s="231"/>
      <c r="D29" s="101">
        <v>11</v>
      </c>
      <c r="E29" s="82" t="s">
        <v>69</v>
      </c>
      <c r="F29" s="721">
        <v>0</v>
      </c>
      <c r="G29" s="721" t="s">
        <v>161</v>
      </c>
      <c r="H29" s="205" t="s">
        <v>708</v>
      </c>
      <c r="I29" s="19" t="s">
        <v>62</v>
      </c>
      <c r="J29" s="243" t="s">
        <v>70</v>
      </c>
    </row>
    <row r="30" ht="142.5">
      <c r="A30" s="393"/>
      <c r="B30" s="231"/>
      <c r="C30" s="231"/>
      <c r="D30" s="101">
        <v>12</v>
      </c>
      <c r="E30" s="205" t="s">
        <v>61</v>
      </c>
      <c r="F30" s="441">
        <v>0.25</v>
      </c>
      <c r="G30" s="722" t="s">
        <v>13</v>
      </c>
      <c r="H30" s="82" t="s">
        <v>740</v>
      </c>
      <c r="I30" s="19" t="s">
        <v>62</v>
      </c>
      <c r="J30" s="243" t="s">
        <v>70</v>
      </c>
    </row>
    <row r="31" ht="28.5">
      <c r="A31" s="393"/>
      <c r="B31" s="231"/>
      <c r="C31" s="231"/>
      <c r="D31" s="101">
        <v>13</v>
      </c>
      <c r="E31" s="82" t="s">
        <v>67</v>
      </c>
      <c r="F31" s="320">
        <v>1</v>
      </c>
      <c r="G31" s="320" t="s">
        <v>30</v>
      </c>
      <c r="H31" s="82" t="s">
        <v>741</v>
      </c>
      <c r="I31" s="19" t="s">
        <v>62</v>
      </c>
      <c r="J31" s="82" t="s">
        <v>66</v>
      </c>
    </row>
    <row r="32" ht="42.75">
      <c r="A32" s="393"/>
      <c r="B32" s="231"/>
      <c r="C32" s="231"/>
      <c r="D32" s="101">
        <v>14</v>
      </c>
      <c r="E32" s="82" t="s">
        <v>85</v>
      </c>
      <c r="F32" s="320">
        <v>1</v>
      </c>
      <c r="G32" s="320" t="s">
        <v>30</v>
      </c>
      <c r="H32" s="82" t="s">
        <v>742</v>
      </c>
      <c r="I32" s="19" t="s">
        <v>62</v>
      </c>
      <c r="J32" s="82" t="s">
        <v>70</v>
      </c>
    </row>
    <row r="33" ht="85.5">
      <c r="A33" s="393"/>
      <c r="B33" s="231"/>
      <c r="C33" s="231"/>
      <c r="D33" s="101">
        <v>15</v>
      </c>
      <c r="E33" s="82" t="s">
        <v>185</v>
      </c>
      <c r="F33" s="723">
        <v>0.66000000000000003</v>
      </c>
      <c r="G33" s="723" t="s">
        <v>27</v>
      </c>
      <c r="H33" s="82" t="s">
        <v>743</v>
      </c>
      <c r="I33" s="19" t="s">
        <v>62</v>
      </c>
      <c r="J33" s="82" t="s">
        <v>63</v>
      </c>
    </row>
    <row r="34" ht="71.25">
      <c r="A34" s="393"/>
      <c r="B34" s="231"/>
      <c r="C34" s="231"/>
      <c r="D34" s="101">
        <v>16</v>
      </c>
      <c r="E34" s="82" t="s">
        <v>72</v>
      </c>
      <c r="F34" s="320">
        <v>1</v>
      </c>
      <c r="G34" s="320" t="s">
        <v>30</v>
      </c>
      <c r="H34" s="205" t="s">
        <v>744</v>
      </c>
      <c r="I34" s="19" t="s">
        <v>62</v>
      </c>
      <c r="J34" s="205" t="s">
        <v>66</v>
      </c>
    </row>
    <row r="35" ht="156.75">
      <c r="A35" s="393"/>
      <c r="B35" s="231"/>
      <c r="C35" s="231"/>
      <c r="D35" s="101">
        <v>17</v>
      </c>
      <c r="E35" s="206" t="s">
        <v>88</v>
      </c>
      <c r="F35" s="378">
        <v>0.80000000000000004</v>
      </c>
      <c r="G35" s="686" t="s">
        <v>27</v>
      </c>
      <c r="H35" s="82" t="s">
        <v>730</v>
      </c>
      <c r="I35" s="19" t="s">
        <v>62</v>
      </c>
      <c r="J35" s="205" t="s">
        <v>66</v>
      </c>
    </row>
    <row r="36" ht="156.75">
      <c r="A36" s="393"/>
      <c r="B36" s="231"/>
      <c r="C36" s="231"/>
      <c r="D36" s="101">
        <v>18</v>
      </c>
      <c r="E36" s="206" t="s">
        <v>93</v>
      </c>
      <c r="F36" s="320">
        <v>1</v>
      </c>
      <c r="G36" s="320" t="s">
        <v>30</v>
      </c>
      <c r="H36" s="82" t="s">
        <v>745</v>
      </c>
      <c r="I36" s="19" t="s">
        <v>62</v>
      </c>
      <c r="J36" s="205" t="s">
        <v>66</v>
      </c>
    </row>
    <row r="37" ht="128.25">
      <c r="A37" s="393"/>
      <c r="B37" s="231"/>
      <c r="C37" s="231"/>
      <c r="D37" s="101">
        <v>19</v>
      </c>
      <c r="E37" s="206" t="s">
        <v>80</v>
      </c>
      <c r="F37" s="320">
        <v>1</v>
      </c>
      <c r="G37" s="320" t="s">
        <v>30</v>
      </c>
      <c r="H37" s="82" t="s">
        <v>746</v>
      </c>
      <c r="I37" s="19" t="s">
        <v>62</v>
      </c>
      <c r="J37" s="205" t="s">
        <v>70</v>
      </c>
    </row>
    <row r="38" ht="228">
      <c r="A38" s="393"/>
      <c r="B38" s="231"/>
      <c r="C38" s="231"/>
      <c r="D38" s="101">
        <v>20</v>
      </c>
      <c r="E38" s="205" t="s">
        <v>91</v>
      </c>
      <c r="F38" s="723">
        <v>0.75</v>
      </c>
      <c r="G38" s="723" t="s">
        <v>27</v>
      </c>
      <c r="H38" s="205" t="s">
        <v>747</v>
      </c>
      <c r="I38" s="19" t="s">
        <v>62</v>
      </c>
      <c r="J38" s="205" t="s">
        <v>70</v>
      </c>
    </row>
    <row r="39" ht="57">
      <c r="A39" s="393"/>
      <c r="B39" s="231"/>
      <c r="C39" s="231"/>
      <c r="D39" s="101">
        <v>21</v>
      </c>
      <c r="E39" s="205" t="s">
        <v>92</v>
      </c>
      <c r="F39" s="721">
        <v>0</v>
      </c>
      <c r="G39" s="721" t="s">
        <v>161</v>
      </c>
      <c r="H39" s="205" t="s">
        <v>713</v>
      </c>
      <c r="I39" s="19" t="s">
        <v>62</v>
      </c>
      <c r="J39" s="205" t="s">
        <v>63</v>
      </c>
    </row>
    <row r="40" ht="171">
      <c r="A40" s="393"/>
      <c r="B40" s="231"/>
      <c r="C40" s="231"/>
      <c r="D40" s="101">
        <v>22</v>
      </c>
      <c r="E40" s="205" t="s">
        <v>74</v>
      </c>
      <c r="F40" s="723">
        <v>0.75</v>
      </c>
      <c r="G40" s="723" t="s">
        <v>27</v>
      </c>
      <c r="H40" s="205" t="s">
        <v>748</v>
      </c>
      <c r="I40" s="19" t="s">
        <v>62</v>
      </c>
      <c r="J40" s="205" t="s">
        <v>63</v>
      </c>
    </row>
    <row r="41" ht="85.5">
      <c r="A41" s="393"/>
      <c r="B41" s="231"/>
      <c r="C41" s="231"/>
      <c r="D41" s="101">
        <v>23</v>
      </c>
      <c r="E41" s="205" t="s">
        <v>84</v>
      </c>
      <c r="F41" s="320">
        <v>1</v>
      </c>
      <c r="G41" s="320" t="s">
        <v>30</v>
      </c>
      <c r="H41" s="205" t="s">
        <v>742</v>
      </c>
      <c r="I41" s="19" t="s">
        <v>62</v>
      </c>
      <c r="J41" s="205" t="s">
        <v>70</v>
      </c>
    </row>
    <row r="42" ht="185.25">
      <c r="A42" s="393"/>
      <c r="B42" s="231"/>
      <c r="C42" s="231"/>
      <c r="D42" s="68">
        <v>24</v>
      </c>
      <c r="E42" s="82" t="s">
        <v>77</v>
      </c>
      <c r="F42" s="376">
        <v>0.5</v>
      </c>
      <c r="G42" s="84" t="s">
        <v>24</v>
      </c>
      <c r="H42" s="205" t="s">
        <v>749</v>
      </c>
      <c r="I42" s="19" t="s">
        <v>62</v>
      </c>
      <c r="J42" s="205" t="s">
        <v>70</v>
      </c>
    </row>
    <row r="43" ht="42.75">
      <c r="A43" s="393"/>
      <c r="B43" s="231"/>
      <c r="C43" s="231"/>
      <c r="D43" s="209">
        <v>25</v>
      </c>
      <c r="E43" s="82" t="s">
        <v>76</v>
      </c>
      <c r="F43" s="320">
        <v>1</v>
      </c>
      <c r="G43" s="320" t="s">
        <v>30</v>
      </c>
      <c r="H43" s="205" t="s">
        <v>744</v>
      </c>
      <c r="I43" s="19" t="s">
        <v>62</v>
      </c>
      <c r="J43" s="82" t="s">
        <v>70</v>
      </c>
    </row>
    <row r="44" ht="270.75">
      <c r="A44" s="404"/>
      <c r="B44" s="244"/>
      <c r="C44" s="244"/>
      <c r="D44" s="209">
        <v>26</v>
      </c>
      <c r="E44" s="205" t="s">
        <v>96</v>
      </c>
      <c r="F44" s="320">
        <v>0.85999999999999999</v>
      </c>
      <c r="G44" s="320" t="s">
        <v>30</v>
      </c>
      <c r="H44" s="205" t="s">
        <v>750</v>
      </c>
      <c r="I44" s="19" t="s">
        <v>62</v>
      </c>
      <c r="J44" s="205" t="s">
        <v>66</v>
      </c>
    </row>
    <row r="45" ht="15">
      <c r="A45" s="675"/>
      <c r="B45" s="245"/>
      <c r="C45" s="245"/>
      <c r="D45" s="215"/>
      <c r="E45" s="542"/>
      <c r="F45" s="724">
        <f>(F19+F20+F21+F22+F23+F24+F25+F26+F27+F28+F29+F30+F31+F32+F33+F34+F35+F36+F37+F38+F39+F40+F41+F42+F43+F44)/26</f>
        <v>0.78346153846153854</v>
      </c>
      <c r="G45" s="725"/>
      <c r="H45" s="542"/>
      <c r="I45" s="249"/>
      <c r="J45" s="542"/>
    </row>
    <row r="46" ht="15">
      <c r="A46" s="675"/>
      <c r="B46" s="245"/>
      <c r="C46" s="245"/>
      <c r="D46" s="215"/>
      <c r="E46" s="542"/>
      <c r="F46" s="725"/>
      <c r="G46" s="725"/>
      <c r="H46" s="542"/>
      <c r="I46" s="249"/>
      <c r="J46" s="542"/>
    </row>
    <row r="47" ht="14.25"/>
    <row r="48" ht="30">
      <c r="A48" s="176" t="s">
        <v>597</v>
      </c>
      <c r="B48" s="168" t="s">
        <v>727</v>
      </c>
      <c r="C48" s="169"/>
      <c r="D48" s="169"/>
      <c r="E48" s="170"/>
      <c r="F48" s="726">
        <v>0.78000000000000003</v>
      </c>
      <c r="G48" s="727" t="s">
        <v>27</v>
      </c>
      <c r="H48" s="268" t="s">
        <v>751</v>
      </c>
      <c r="I48" s="728"/>
      <c r="J48" s="729"/>
    </row>
    <row r="49" ht="14.25"/>
  </sheetData>
  <mergeCells count="14">
    <mergeCell ref="A1:D1"/>
    <mergeCell ref="F2:G2"/>
    <mergeCell ref="A3:A11"/>
    <mergeCell ref="B3:B11"/>
    <mergeCell ref="C3:C11"/>
    <mergeCell ref="A13:J13"/>
    <mergeCell ref="B15:E15"/>
    <mergeCell ref="H15:J15"/>
    <mergeCell ref="A17:D17"/>
    <mergeCell ref="F18:G18"/>
    <mergeCell ref="A19:A44"/>
    <mergeCell ref="B19:B44"/>
    <mergeCell ref="C19:C44"/>
    <mergeCell ref="B48:E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B800F1-0057-41E7-9822-002600E2001F}">
            <xm:f>NOT(ISERROR(SEARCH("Высокий уровень",D9)))</xm:f>
            <x14:dxf>
              <fill>
                <patternFill patternType="solid">
                  <fgColor rgb="FF70AD47"/>
                  <bgColor rgb="FF70AD47"/>
                </patternFill>
              </fill>
            </x14:dxf>
          </x14:cfRule>
          <xm:sqref>G13</xm:sqref>
        </x14:conditionalFormatting>
        <x14:conditionalFormatting xmlns:xm="http://schemas.microsoft.com/office/excel/2006/main">
          <x14:cfRule type="containsText" priority="5" text="Выше среднего" id="{00EF00A9-001C-4F73-B3EF-0068000500EB}">
            <xm:f>NOT(ISERROR(SEARCH("Выше среднего",D9)))</xm:f>
            <x14:dxf>
              <fill>
                <patternFill patternType="solid">
                  <fgColor rgb="FFA9D08D"/>
                  <bgColor rgb="FFA9D08D"/>
                </patternFill>
              </fill>
            </x14:dxf>
          </x14:cfRule>
          <xm:sqref>G13</xm:sqref>
        </x14:conditionalFormatting>
        <x14:conditionalFormatting xmlns:xm="http://schemas.microsoft.com/office/excel/2006/main">
          <x14:cfRule type="containsText" priority="4" text="Средний уровень" id="{002600E1-001F-41EB-BF41-002B008500AB}">
            <xm:f>NOT(ISERROR(SEARCH("Средний уровень",D9)))</xm:f>
            <x14:dxf>
              <font>
                <color theme="1" tint="0"/>
              </font>
              <fill>
                <patternFill patternType="solid">
                  <fgColor indexed="5"/>
                  <bgColor indexed="5"/>
                </patternFill>
              </fill>
            </x14:dxf>
          </x14:cfRule>
          <xm:sqref>G13</xm:sqref>
        </x14:conditionalFormatting>
        <x14:conditionalFormatting xmlns:xm="http://schemas.microsoft.com/office/excel/2006/main">
          <x14:cfRule type="containsText" priority="3" text="Ниже среднего" id="{005700B0-0024-4538-91F6-00AF000F0054}">
            <xm:f>NOT(ISERROR(SEARCH("Ниже среднего",D9)))</xm:f>
            <x14:dxf>
              <fill>
                <patternFill patternType="solid">
                  <fgColor rgb="FFED7D31"/>
                  <bgColor rgb="FFED7D31"/>
                </patternFill>
              </fill>
            </x14:dxf>
          </x14:cfRule>
          <xm:sqref>G13</xm:sqref>
        </x14:conditionalFormatting>
        <x14:conditionalFormatting xmlns:xm="http://schemas.microsoft.com/office/excel/2006/main">
          <x14:cfRule type="containsText" priority="2" text="Низкий уровень" id="{001800A5-00BA-412D-9519-00C900D60006}">
            <xm:f>NOT(ISERROR(SEARCH("Низкий уровень",D9)))</xm:f>
            <x14:dxf>
              <fill>
                <patternFill patternType="solid">
                  <fgColor indexed="2"/>
                  <bgColor indexed="2"/>
                </patternFill>
              </fill>
            </x14:dxf>
          </x14:cfRule>
          <xm:sqref>G13</xm:sqref>
        </x14:conditionalFormatting>
        <x14:conditionalFormatting xmlns:xm="http://schemas.microsoft.com/office/excel/2006/main">
          <x14:cfRule type="containsText" priority="1" text="Невозможно измерить" id="{00D50022-0054-422A-A3BE-00AA000D00BF}">
            <xm:f>NOT(ISERROR(SEARCH("Невозможно измерить",D9)))</xm:f>
            <x14:dxf>
              <fill>
                <patternFill patternType="solid">
                  <fgColor rgb="FF7F7F7F"/>
                  <bgColor rgb="FF7F7F7F"/>
                </patternFill>
              </fill>
            </x14:dxf>
          </x14:cfRule>
          <xm:sqref>G13</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9" zoomScale="100" workbookViewId="0">
      <selection activeCell="A1" activeCellId="0" sqref="A1"/>
    </sheetView>
  </sheetViews>
  <sheetFormatPr defaultRowHeight="14.25"/>
  <cols>
    <col customWidth="1" min="1" max="1" width="24.7109375"/>
    <col customWidth="1" min="2" max="2" width="15.28125"/>
    <col customWidth="1" min="3" max="3" width="7.57421875"/>
    <col customWidth="1" min="4" max="4" width="29.140625"/>
    <col customWidth="1" min="5" max="5" width="11.140625"/>
    <col customWidth="1" min="6" max="6" width="16.7109375"/>
    <col customWidth="1" min="7" max="7" width="110.00390625"/>
    <col customWidth="1" min="9" max="9" style="215" width="21.57421875"/>
    <col customWidth="1" min="10" max="10" width="25.28125"/>
  </cols>
  <sheetData>
    <row r="1" ht="15">
      <c r="A1" s="495" t="s">
        <v>752</v>
      </c>
      <c r="B1" s="495"/>
      <c r="C1" s="495"/>
      <c r="D1" s="495"/>
      <c r="E1" s="495"/>
      <c r="F1" s="495"/>
      <c r="G1" s="495"/>
      <c r="H1" s="495"/>
      <c r="I1" s="495"/>
    </row>
    <row r="2" ht="30">
      <c r="A2" s="285" t="s">
        <v>154</v>
      </c>
      <c r="B2" s="285" t="s">
        <v>127</v>
      </c>
      <c r="C2" s="285" t="s">
        <v>5</v>
      </c>
      <c r="D2" s="223" t="s">
        <v>155</v>
      </c>
      <c r="E2" s="221" t="s">
        <v>8</v>
      </c>
      <c r="F2" s="222"/>
      <c r="G2" s="388" t="s">
        <v>156</v>
      </c>
      <c r="H2" s="389" t="s">
        <v>230</v>
      </c>
      <c r="I2" s="388" t="s">
        <v>158</v>
      </c>
    </row>
    <row r="3" ht="84" customHeight="1">
      <c r="A3" s="390" t="s">
        <v>51</v>
      </c>
      <c r="B3" s="225" t="s">
        <v>753</v>
      </c>
      <c r="C3" s="19">
        <v>1</v>
      </c>
      <c r="D3" s="261" t="s">
        <v>29</v>
      </c>
      <c r="E3" s="651">
        <v>1</v>
      </c>
      <c r="F3" s="392" t="s">
        <v>30</v>
      </c>
      <c r="G3" s="264" t="s">
        <v>754</v>
      </c>
      <c r="H3" s="292" t="s">
        <v>14</v>
      </c>
      <c r="I3" s="147" t="s">
        <v>15</v>
      </c>
    </row>
    <row r="4" ht="93" customHeight="1">
      <c r="A4" s="393"/>
      <c r="B4" s="231"/>
      <c r="C4" s="19">
        <v>2</v>
      </c>
      <c r="D4" s="261" t="s">
        <v>26</v>
      </c>
      <c r="E4" s="651">
        <v>1</v>
      </c>
      <c r="F4" s="392" t="s">
        <v>30</v>
      </c>
      <c r="G4" s="264" t="s">
        <v>755</v>
      </c>
      <c r="H4" s="292" t="s">
        <v>14</v>
      </c>
      <c r="I4" s="147" t="s">
        <v>15</v>
      </c>
    </row>
    <row r="5" ht="55.5" customHeight="1">
      <c r="A5" s="393"/>
      <c r="B5" s="231"/>
      <c r="C5" s="19">
        <v>3</v>
      </c>
      <c r="D5" s="261" t="s">
        <v>12</v>
      </c>
      <c r="E5" s="651">
        <v>1</v>
      </c>
      <c r="F5" s="287" t="s">
        <v>30</v>
      </c>
      <c r="G5" s="264" t="s">
        <v>756</v>
      </c>
      <c r="H5" s="292" t="s">
        <v>14</v>
      </c>
      <c r="I5" s="147" t="s">
        <v>15</v>
      </c>
    </row>
    <row r="6" ht="116.25" customHeight="1">
      <c r="A6" s="393"/>
      <c r="B6" s="231"/>
      <c r="C6" s="19">
        <v>4</v>
      </c>
      <c r="D6" s="260" t="s">
        <v>20</v>
      </c>
      <c r="E6" s="692">
        <v>0</v>
      </c>
      <c r="F6" s="691" t="s">
        <v>161</v>
      </c>
      <c r="G6" s="401" t="s">
        <v>757</v>
      </c>
      <c r="H6" s="292" t="s">
        <v>14</v>
      </c>
      <c r="I6" s="147" t="s">
        <v>15</v>
      </c>
      <c r="J6" s="730"/>
    </row>
    <row r="7" ht="75.75" customHeight="1">
      <c r="A7" s="393"/>
      <c r="B7" s="231"/>
      <c r="C7" s="19">
        <v>5</v>
      </c>
      <c r="D7" s="27" t="s">
        <v>23</v>
      </c>
      <c r="E7" s="147" t="s">
        <v>250</v>
      </c>
      <c r="F7" s="19" t="s">
        <v>251</v>
      </c>
      <c r="G7" s="401" t="s">
        <v>758</v>
      </c>
      <c r="H7" s="292" t="s">
        <v>14</v>
      </c>
      <c r="I7" s="147" t="s">
        <v>15</v>
      </c>
      <c r="J7" s="730"/>
    </row>
    <row r="8" ht="90.75" customHeight="1">
      <c r="A8" s="393"/>
      <c r="B8" s="231"/>
      <c r="C8" s="19">
        <v>6</v>
      </c>
      <c r="D8" s="261" t="s">
        <v>22</v>
      </c>
      <c r="E8" s="692">
        <v>0</v>
      </c>
      <c r="F8" s="691" t="s">
        <v>161</v>
      </c>
      <c r="G8" s="731" t="s">
        <v>759</v>
      </c>
      <c r="H8" s="292" t="s">
        <v>14</v>
      </c>
      <c r="I8" s="147" t="s">
        <v>15</v>
      </c>
    </row>
    <row r="9" ht="87" customHeight="1">
      <c r="A9" s="393"/>
      <c r="B9" s="231"/>
      <c r="C9" s="19">
        <v>7</v>
      </c>
      <c r="D9" s="261" t="s">
        <v>19</v>
      </c>
      <c r="E9" s="147" t="s">
        <v>250</v>
      </c>
      <c r="F9" s="19" t="s">
        <v>251</v>
      </c>
      <c r="G9" s="401" t="s">
        <v>760</v>
      </c>
      <c r="H9" s="292" t="s">
        <v>14</v>
      </c>
      <c r="I9" s="18" t="s">
        <v>15</v>
      </c>
    </row>
    <row r="10" ht="90.75" customHeight="1">
      <c r="A10" s="393"/>
      <c r="B10" s="231"/>
      <c r="C10" s="19">
        <v>8</v>
      </c>
      <c r="D10" s="347" t="s">
        <v>32</v>
      </c>
      <c r="E10" s="147" t="s">
        <v>250</v>
      </c>
      <c r="F10" s="19" t="s">
        <v>251</v>
      </c>
      <c r="G10" s="732" t="s">
        <v>284</v>
      </c>
      <c r="H10" s="229" t="s">
        <v>168</v>
      </c>
      <c r="I10" s="147" t="s">
        <v>15</v>
      </c>
      <c r="J10" s="403"/>
    </row>
    <row r="11" ht="52.5" customHeight="1">
      <c r="A11" s="404"/>
      <c r="B11" s="244"/>
      <c r="C11" s="19">
        <v>9</v>
      </c>
      <c r="D11" s="347" t="s">
        <v>17</v>
      </c>
      <c r="E11" s="692">
        <v>0</v>
      </c>
      <c r="F11" s="691" t="s">
        <v>161</v>
      </c>
      <c r="G11" s="732" t="s">
        <v>761</v>
      </c>
      <c r="H11" s="292" t="s">
        <v>14</v>
      </c>
      <c r="I11" s="147" t="s">
        <v>15</v>
      </c>
      <c r="J11" s="403"/>
    </row>
    <row r="12" ht="39.75" customHeight="1">
      <c r="A12" s="675"/>
      <c r="B12" s="245"/>
      <c r="C12" s="249"/>
      <c r="D12" s="717"/>
      <c r="E12" s="733">
        <f>(E3+E4+E5+E6+E8+E11)/6</f>
        <v>0.5</v>
      </c>
      <c r="F12" s="581"/>
      <c r="G12" s="734"/>
      <c r="H12" s="590"/>
      <c r="I12" s="548"/>
      <c r="J12" s="403"/>
    </row>
    <row r="13" ht="17.25">
      <c r="A13" s="570" t="s">
        <v>193</v>
      </c>
      <c r="B13" s="105"/>
      <c r="C13" s="105"/>
      <c r="D13" s="105"/>
      <c r="E13" s="105"/>
      <c r="F13" s="105"/>
      <c r="G13" s="105"/>
      <c r="H13" s="105"/>
      <c r="I13" s="105"/>
    </row>
    <row r="14" ht="14.25">
      <c r="A14" s="105"/>
      <c r="B14" s="105"/>
      <c r="C14" s="105"/>
      <c r="D14" s="105"/>
      <c r="E14" s="105"/>
      <c r="F14" s="105"/>
      <c r="G14" s="105"/>
      <c r="H14" s="105"/>
      <c r="I14" s="105"/>
    </row>
    <row r="15" ht="42" customHeight="1">
      <c r="A15" s="176" t="s">
        <v>762</v>
      </c>
      <c r="B15" s="168" t="s">
        <v>763</v>
      </c>
      <c r="C15" s="169"/>
      <c r="D15" s="170"/>
      <c r="E15" s="735">
        <v>0.5</v>
      </c>
      <c r="F15" s="736" t="s">
        <v>24</v>
      </c>
      <c r="G15" s="85" t="s">
        <v>764</v>
      </c>
      <c r="H15" s="86"/>
      <c r="I15" s="87"/>
      <c r="J15" s="12"/>
    </row>
    <row r="16" ht="14.25">
      <c r="I16" s="215"/>
    </row>
    <row r="17" ht="15">
      <c r="A17" s="495" t="s">
        <v>327</v>
      </c>
      <c r="B17" s="495"/>
      <c r="C17" s="495"/>
      <c r="D17" s="495"/>
      <c r="E17" s="495"/>
      <c r="F17" s="495"/>
      <c r="G17" s="495"/>
      <c r="H17" s="495"/>
      <c r="I17" s="495"/>
    </row>
    <row r="18" ht="30">
      <c r="A18" s="285" t="s">
        <v>154</v>
      </c>
      <c r="B18" s="285" t="s">
        <v>127</v>
      </c>
      <c r="C18" s="285" t="s">
        <v>5</v>
      </c>
      <c r="D18" s="223" t="s">
        <v>155</v>
      </c>
      <c r="E18" s="221" t="s">
        <v>8</v>
      </c>
      <c r="F18" s="222"/>
      <c r="G18" s="388" t="s">
        <v>156</v>
      </c>
      <c r="H18" s="389" t="s">
        <v>230</v>
      </c>
      <c r="I18" s="388" t="s">
        <v>158</v>
      </c>
    </row>
    <row r="19" ht="71.25">
      <c r="A19" s="390" t="s">
        <v>51</v>
      </c>
      <c r="B19" s="225" t="s">
        <v>753</v>
      </c>
      <c r="C19" s="19">
        <v>1</v>
      </c>
      <c r="D19" s="261" t="s">
        <v>173</v>
      </c>
      <c r="E19" s="651">
        <v>1</v>
      </c>
      <c r="F19" s="392" t="s">
        <v>30</v>
      </c>
      <c r="G19" s="264" t="s">
        <v>765</v>
      </c>
      <c r="H19" s="737" t="s">
        <v>62</v>
      </c>
      <c r="I19" s="738" t="s">
        <v>66</v>
      </c>
    </row>
    <row r="20" ht="71.25">
      <c r="A20" s="393"/>
      <c r="B20" s="231"/>
      <c r="C20" s="19">
        <v>2</v>
      </c>
      <c r="D20" s="261" t="s">
        <v>211</v>
      </c>
      <c r="E20" s="651">
        <v>1</v>
      </c>
      <c r="F20" s="392" t="s">
        <v>30</v>
      </c>
      <c r="G20" s="264" t="s">
        <v>766</v>
      </c>
      <c r="H20" s="19" t="s">
        <v>62</v>
      </c>
      <c r="I20" s="261" t="s">
        <v>66</v>
      </c>
    </row>
    <row r="21" ht="30">
      <c r="A21" s="393"/>
      <c r="B21" s="231"/>
      <c r="C21" s="19">
        <v>3</v>
      </c>
      <c r="D21" s="261" t="s">
        <v>104</v>
      </c>
      <c r="E21" s="651">
        <v>1</v>
      </c>
      <c r="F21" s="287" t="s">
        <v>30</v>
      </c>
      <c r="G21" s="264" t="s">
        <v>767</v>
      </c>
      <c r="H21" s="19" t="s">
        <v>62</v>
      </c>
      <c r="I21" s="261" t="s">
        <v>63</v>
      </c>
    </row>
    <row r="22" ht="42.75">
      <c r="A22" s="393"/>
      <c r="B22" s="231"/>
      <c r="C22" s="19">
        <v>4</v>
      </c>
      <c r="D22" s="261" t="s">
        <v>94</v>
      </c>
      <c r="E22" s="392">
        <v>1</v>
      </c>
      <c r="F22" s="287" t="s">
        <v>30</v>
      </c>
      <c r="G22" s="401" t="s">
        <v>768</v>
      </c>
      <c r="H22" s="19" t="s">
        <v>62</v>
      </c>
      <c r="I22" s="265" t="s">
        <v>66</v>
      </c>
    </row>
    <row r="23" ht="28.5">
      <c r="A23" s="393"/>
      <c r="B23" s="231"/>
      <c r="C23" s="19">
        <v>5</v>
      </c>
      <c r="D23" s="261" t="s">
        <v>65</v>
      </c>
      <c r="E23" s="439" t="s">
        <v>250</v>
      </c>
      <c r="F23" s="19" t="s">
        <v>251</v>
      </c>
      <c r="G23" s="739" t="s">
        <v>769</v>
      </c>
      <c r="H23" s="19" t="s">
        <v>62</v>
      </c>
      <c r="I23" s="229" t="s">
        <v>66</v>
      </c>
    </row>
    <row r="24" ht="30">
      <c r="A24" s="393"/>
      <c r="B24" s="231"/>
      <c r="C24" s="19">
        <v>6</v>
      </c>
      <c r="D24" s="261" t="s">
        <v>79</v>
      </c>
      <c r="E24" s="392">
        <v>1</v>
      </c>
      <c r="F24" s="287" t="s">
        <v>30</v>
      </c>
      <c r="G24" s="396" t="s">
        <v>770</v>
      </c>
      <c r="H24" s="19" t="s">
        <v>62</v>
      </c>
      <c r="I24" s="243" t="s">
        <v>63</v>
      </c>
    </row>
    <row r="25" ht="30">
      <c r="A25" s="393"/>
      <c r="B25" s="231"/>
      <c r="C25" s="19">
        <v>7</v>
      </c>
      <c r="D25" s="347" t="s">
        <v>100</v>
      </c>
      <c r="E25" s="392">
        <v>1</v>
      </c>
      <c r="F25" s="287" t="s">
        <v>30</v>
      </c>
      <c r="G25" s="401" t="s">
        <v>771</v>
      </c>
      <c r="H25" s="19" t="s">
        <v>62</v>
      </c>
      <c r="I25" s="243" t="s">
        <v>63</v>
      </c>
    </row>
    <row r="26" ht="99.75">
      <c r="A26" s="393"/>
      <c r="B26" s="231"/>
      <c r="C26" s="311">
        <v>8</v>
      </c>
      <c r="D26" s="206" t="s">
        <v>90</v>
      </c>
      <c r="E26" s="439" t="s">
        <v>250</v>
      </c>
      <c r="F26" s="19" t="s">
        <v>251</v>
      </c>
      <c r="G26" s="205" t="s">
        <v>772</v>
      </c>
      <c r="H26" s="19" t="s">
        <v>62</v>
      </c>
      <c r="I26" s="243" t="s">
        <v>70</v>
      </c>
    </row>
    <row r="27" ht="71.25">
      <c r="A27" s="393"/>
      <c r="B27" s="231"/>
      <c r="C27" s="311">
        <v>9</v>
      </c>
      <c r="D27" s="206" t="s">
        <v>98</v>
      </c>
      <c r="E27" s="392">
        <v>1</v>
      </c>
      <c r="F27" s="287" t="s">
        <v>30</v>
      </c>
      <c r="G27" s="82" t="s">
        <v>773</v>
      </c>
      <c r="H27" s="19" t="s">
        <v>62</v>
      </c>
      <c r="I27" s="243" t="s">
        <v>70</v>
      </c>
    </row>
    <row r="28" ht="42.75">
      <c r="A28" s="393"/>
      <c r="B28" s="231"/>
      <c r="C28" s="311">
        <v>10</v>
      </c>
      <c r="D28" s="82" t="s">
        <v>82</v>
      </c>
      <c r="E28" s="392">
        <v>1</v>
      </c>
      <c r="F28" s="287" t="s">
        <v>30</v>
      </c>
      <c r="G28" s="82" t="s">
        <v>774</v>
      </c>
      <c r="H28" s="19" t="s">
        <v>62</v>
      </c>
      <c r="I28" s="243" t="s">
        <v>66</v>
      </c>
    </row>
    <row r="29" ht="57">
      <c r="A29" s="393"/>
      <c r="B29" s="231"/>
      <c r="C29" s="311">
        <v>11</v>
      </c>
      <c r="D29" s="82" t="s">
        <v>69</v>
      </c>
      <c r="E29" s="740">
        <v>0</v>
      </c>
      <c r="F29" s="721" t="s">
        <v>161</v>
      </c>
      <c r="G29" s="205" t="s">
        <v>775</v>
      </c>
      <c r="H29" s="19" t="s">
        <v>62</v>
      </c>
      <c r="I29" s="243" t="s">
        <v>70</v>
      </c>
    </row>
    <row r="30" ht="99.75">
      <c r="A30" s="393"/>
      <c r="B30" s="231"/>
      <c r="C30" s="311">
        <v>12</v>
      </c>
      <c r="D30" s="205" t="s">
        <v>61</v>
      </c>
      <c r="E30" s="740">
        <v>0</v>
      </c>
      <c r="F30" s="721" t="s">
        <v>161</v>
      </c>
      <c r="G30" s="82" t="s">
        <v>776</v>
      </c>
      <c r="H30" s="19" t="s">
        <v>62</v>
      </c>
      <c r="I30" s="243" t="s">
        <v>70</v>
      </c>
    </row>
    <row r="31" ht="15">
      <c r="A31" s="393"/>
      <c r="B31" s="231"/>
      <c r="C31" s="311">
        <v>13</v>
      </c>
      <c r="D31" s="82" t="s">
        <v>67</v>
      </c>
      <c r="E31" s="439" t="s">
        <v>250</v>
      </c>
      <c r="F31" s="19" t="s">
        <v>251</v>
      </c>
      <c r="G31" s="82" t="s">
        <v>777</v>
      </c>
      <c r="H31" s="19" t="s">
        <v>62</v>
      </c>
      <c r="I31" s="209" t="s">
        <v>66</v>
      </c>
    </row>
    <row r="32" ht="30">
      <c r="A32" s="393"/>
      <c r="B32" s="231"/>
      <c r="C32" s="311">
        <v>14</v>
      </c>
      <c r="D32" s="82" t="s">
        <v>85</v>
      </c>
      <c r="E32" s="392">
        <v>1</v>
      </c>
      <c r="F32" s="287" t="s">
        <v>30</v>
      </c>
      <c r="G32" s="82" t="s">
        <v>778</v>
      </c>
      <c r="H32" s="19" t="s">
        <v>62</v>
      </c>
      <c r="I32" s="205" t="s">
        <v>70</v>
      </c>
    </row>
    <row r="33" ht="42.75">
      <c r="A33" s="393"/>
      <c r="B33" s="231"/>
      <c r="C33" s="101">
        <v>15</v>
      </c>
      <c r="D33" s="82" t="s">
        <v>185</v>
      </c>
      <c r="E33" s="392">
        <v>1</v>
      </c>
      <c r="F33" s="287" t="s">
        <v>30</v>
      </c>
      <c r="G33" s="205" t="s">
        <v>779</v>
      </c>
      <c r="H33" s="19" t="s">
        <v>62</v>
      </c>
      <c r="I33" s="209" t="s">
        <v>63</v>
      </c>
    </row>
    <row r="34" ht="42.75">
      <c r="A34" s="393"/>
      <c r="B34" s="231"/>
      <c r="C34" s="101">
        <v>16</v>
      </c>
      <c r="D34" s="82" t="s">
        <v>72</v>
      </c>
      <c r="E34" s="392">
        <v>1</v>
      </c>
      <c r="F34" s="287" t="s">
        <v>30</v>
      </c>
      <c r="G34" s="205" t="s">
        <v>780</v>
      </c>
      <c r="H34" s="19" t="s">
        <v>62</v>
      </c>
      <c r="I34" s="209" t="s">
        <v>66</v>
      </c>
    </row>
    <row r="35" ht="30">
      <c r="A35" s="393"/>
      <c r="B35" s="231"/>
      <c r="C35" s="311">
        <v>17</v>
      </c>
      <c r="D35" s="82" t="s">
        <v>88</v>
      </c>
      <c r="E35" s="392">
        <v>1</v>
      </c>
      <c r="F35" s="287" t="s">
        <v>30</v>
      </c>
      <c r="G35" s="209" t="s">
        <v>781</v>
      </c>
      <c r="H35" s="19" t="s">
        <v>62</v>
      </c>
      <c r="I35" s="209" t="s">
        <v>66</v>
      </c>
    </row>
    <row r="36" ht="99.75">
      <c r="A36" s="393"/>
      <c r="B36" s="231"/>
      <c r="C36" s="101">
        <v>18</v>
      </c>
      <c r="D36" s="205" t="s">
        <v>93</v>
      </c>
      <c r="E36" s="392">
        <v>1</v>
      </c>
      <c r="F36" s="287" t="s">
        <v>30</v>
      </c>
      <c r="G36" s="82" t="s">
        <v>782</v>
      </c>
      <c r="H36" s="19" t="s">
        <v>62</v>
      </c>
      <c r="I36" s="209" t="s">
        <v>66</v>
      </c>
    </row>
    <row r="37" ht="42.75">
      <c r="A37" s="393"/>
      <c r="B37" s="231"/>
      <c r="C37" s="101">
        <v>19</v>
      </c>
      <c r="D37" s="82" t="s">
        <v>80</v>
      </c>
      <c r="E37" s="740">
        <v>0</v>
      </c>
      <c r="F37" s="721" t="s">
        <v>161</v>
      </c>
      <c r="G37" s="82" t="s">
        <v>783</v>
      </c>
      <c r="H37" s="19" t="s">
        <v>62</v>
      </c>
      <c r="I37" s="205" t="s">
        <v>70</v>
      </c>
    </row>
    <row r="38" ht="30">
      <c r="A38" s="393"/>
      <c r="B38" s="231"/>
      <c r="C38" s="101">
        <v>20</v>
      </c>
      <c r="D38" s="82" t="s">
        <v>91</v>
      </c>
      <c r="E38" s="392">
        <v>1</v>
      </c>
      <c r="F38" s="287" t="s">
        <v>30</v>
      </c>
      <c r="G38" s="82" t="s">
        <v>784</v>
      </c>
      <c r="H38" s="19" t="s">
        <v>62</v>
      </c>
      <c r="I38" s="205" t="s">
        <v>70</v>
      </c>
    </row>
    <row r="39" ht="30">
      <c r="A39" s="393"/>
      <c r="B39" s="231"/>
      <c r="C39" s="68">
        <v>21</v>
      </c>
      <c r="D39" s="82" t="s">
        <v>92</v>
      </c>
      <c r="E39" s="392">
        <v>1</v>
      </c>
      <c r="F39" s="287" t="s">
        <v>30</v>
      </c>
      <c r="G39" s="314" t="s">
        <v>785</v>
      </c>
      <c r="H39" s="19" t="s">
        <v>62</v>
      </c>
      <c r="I39" s="205" t="s">
        <v>63</v>
      </c>
    </row>
    <row r="40" ht="57">
      <c r="A40" s="393"/>
      <c r="B40" s="231"/>
      <c r="C40" s="68">
        <v>22</v>
      </c>
      <c r="D40" s="82" t="s">
        <v>74</v>
      </c>
      <c r="E40" s="740">
        <v>0</v>
      </c>
      <c r="F40" s="721" t="s">
        <v>161</v>
      </c>
      <c r="G40" s="205" t="s">
        <v>786</v>
      </c>
      <c r="H40" s="19" t="s">
        <v>62</v>
      </c>
      <c r="I40" s="209" t="s">
        <v>63</v>
      </c>
    </row>
    <row r="41" ht="42.75">
      <c r="A41" s="393"/>
      <c r="B41" s="231"/>
      <c r="C41" s="68">
        <v>23</v>
      </c>
      <c r="D41" s="82" t="s">
        <v>84</v>
      </c>
      <c r="E41" s="392">
        <v>1</v>
      </c>
      <c r="F41" s="287" t="s">
        <v>30</v>
      </c>
      <c r="G41" s="82" t="s">
        <v>787</v>
      </c>
      <c r="H41" s="19" t="s">
        <v>62</v>
      </c>
      <c r="I41" s="209" t="s">
        <v>70</v>
      </c>
    </row>
    <row r="42" ht="114">
      <c r="A42" s="393"/>
      <c r="B42" s="231"/>
      <c r="C42" s="68">
        <v>24</v>
      </c>
      <c r="D42" s="82" t="s">
        <v>77</v>
      </c>
      <c r="E42" s="392">
        <v>1</v>
      </c>
      <c r="F42" s="287" t="s">
        <v>30</v>
      </c>
      <c r="G42" s="209" t="s">
        <v>788</v>
      </c>
      <c r="H42" s="19" t="s">
        <v>62</v>
      </c>
      <c r="I42" s="205" t="s">
        <v>70</v>
      </c>
    </row>
    <row r="43" ht="30">
      <c r="A43" s="393"/>
      <c r="B43" s="231"/>
      <c r="C43" s="68">
        <v>25</v>
      </c>
      <c r="D43" s="82" t="s">
        <v>76</v>
      </c>
      <c r="E43" s="392">
        <v>1</v>
      </c>
      <c r="F43" s="287" t="s">
        <v>30</v>
      </c>
      <c r="G43" s="68" t="s">
        <v>349</v>
      </c>
      <c r="H43" s="19" t="s">
        <v>62</v>
      </c>
      <c r="I43" s="205" t="s">
        <v>70</v>
      </c>
    </row>
    <row r="44" ht="30">
      <c r="A44" s="404"/>
      <c r="B44" s="244"/>
      <c r="C44" s="68">
        <v>26</v>
      </c>
      <c r="D44" s="82" t="s">
        <v>96</v>
      </c>
      <c r="E44" s="392">
        <v>1</v>
      </c>
      <c r="F44" s="287" t="s">
        <v>30</v>
      </c>
      <c r="G44" s="611" t="s">
        <v>789</v>
      </c>
      <c r="H44" s="19" t="s">
        <v>62</v>
      </c>
      <c r="I44" s="205" t="s">
        <v>66</v>
      </c>
    </row>
    <row r="45" ht="15">
      <c r="A45" s="675"/>
      <c r="B45" s="245"/>
      <c r="C45" s="3"/>
      <c r="D45" s="102"/>
      <c r="E45" s="409">
        <f>(E19+E20+E21+E22+E24+E25+E27+E28+E29+E30+E32+E33+E34+E35+E36+E37+E38+E39+E40+E41+E42+E43+E44)/23</f>
        <v>0.82608695652173914</v>
      </c>
      <c r="F45" s="407"/>
      <c r="G45" s="741"/>
      <c r="H45" s="249"/>
      <c r="I45" s="542"/>
    </row>
    <row r="46" ht="15">
      <c r="A46" s="675"/>
      <c r="B46" s="245"/>
      <c r="C46" s="3"/>
      <c r="D46" s="102"/>
      <c r="E46" s="742"/>
      <c r="F46" s="407"/>
      <c r="G46" s="741"/>
      <c r="H46" s="249"/>
      <c r="I46" s="542"/>
    </row>
    <row r="47" ht="14.25">
      <c r="E47" s="382"/>
      <c r="F47" s="46"/>
      <c r="I47" s="215"/>
    </row>
    <row r="48" ht="43.5" customHeight="1">
      <c r="A48" s="176" t="s">
        <v>762</v>
      </c>
      <c r="B48" s="168" t="s">
        <v>763</v>
      </c>
      <c r="C48" s="169"/>
      <c r="D48" s="170"/>
      <c r="E48" s="477">
        <v>0.82999999999999996</v>
      </c>
      <c r="F48" s="310" t="s">
        <v>30</v>
      </c>
      <c r="G48" s="85" t="s">
        <v>790</v>
      </c>
      <c r="H48" s="86"/>
      <c r="I48" s="87"/>
      <c r="J48" s="12"/>
    </row>
    <row r="49" ht="14.25">
      <c r="I49" s="215"/>
    </row>
    <row r="50" ht="14.25">
      <c r="I50" s="215"/>
    </row>
  </sheetData>
  <mergeCells count="12">
    <mergeCell ref="A1:I1"/>
    <mergeCell ref="E2:F2"/>
    <mergeCell ref="A3:A11"/>
    <mergeCell ref="B3:B11"/>
    <mergeCell ref="B15:D15"/>
    <mergeCell ref="G15:I15"/>
    <mergeCell ref="A17:I17"/>
    <mergeCell ref="E18:F18"/>
    <mergeCell ref="A19:A44"/>
    <mergeCell ref="B19:B44"/>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C000EB-0068-436C-ACD2-0086004D00D9}">
            <xm:f>NOT(ISERROR(SEARCH("Высокий уровень",D9)))</xm:f>
            <x14:dxf>
              <fill>
                <patternFill patternType="solid">
                  <fgColor rgb="FF70AD47"/>
                  <bgColor rgb="FF70AD47"/>
                </patternFill>
              </fill>
            </x14:dxf>
          </x14:cfRule>
          <xm:sqref>F13</xm:sqref>
        </x14:conditionalFormatting>
        <x14:conditionalFormatting xmlns:xm="http://schemas.microsoft.com/office/excel/2006/main">
          <x14:cfRule type="containsText" priority="6" text="Высокий уровень" id="{00C50007-002B-45BE-B914-007B009A0077}">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5" text="Выше среднего" id="{004A0047-0058-4D8B-8AE2-00B200D00001}">
            <xm:f>NOT(ISERROR(SEARCH("Выше среднего",D9)))</xm:f>
            <x14:dxf>
              <fill>
                <patternFill patternType="solid">
                  <fgColor rgb="FFA9D08D"/>
                  <bgColor rgb="FFA9D08D"/>
                </patternFill>
              </fill>
            </x14:dxf>
          </x14:cfRule>
          <xm:sqref>F13</xm:sqref>
        </x14:conditionalFormatting>
        <x14:conditionalFormatting xmlns:xm="http://schemas.microsoft.com/office/excel/2006/main">
          <x14:cfRule type="containsText" priority="5" text="Выше среднего" id="{001F0065-00A0-4B46-AA11-007D00F20065}">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4" text="Средний уровень" id="{00CB001A-00CF-4D53-BD7C-00E400EB00ED}">
            <xm:f>NOT(ISERROR(SEARCH("Средний уровень",D9)))</xm:f>
            <x14:dxf>
              <font>
                <color theme="1" tint="0"/>
              </font>
              <fill>
                <patternFill patternType="solid">
                  <fgColor indexed="5"/>
                  <bgColor indexed="5"/>
                </patternFill>
              </fill>
            </x14:dxf>
          </x14:cfRule>
          <xm:sqref>F13</xm:sqref>
        </x14:conditionalFormatting>
        <x14:conditionalFormatting xmlns:xm="http://schemas.microsoft.com/office/excel/2006/main">
          <x14:cfRule type="containsText" priority="4" text="Средний уровень" id="{00C200EC-0081-4AC0-95F1-007A00950069}">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3" text="Ниже среднего" id="{005C0027-0038-4EF7-8681-00F1009F0052}">
            <xm:f>NOT(ISERROR(SEARCH("Ниже среднего",D9)))</xm:f>
            <x14:dxf>
              <fill>
                <patternFill patternType="solid">
                  <fgColor rgb="FFED7D31"/>
                  <bgColor rgb="FFED7D31"/>
                </patternFill>
              </fill>
            </x14:dxf>
          </x14:cfRule>
          <xm:sqref>F13</xm:sqref>
        </x14:conditionalFormatting>
        <x14:conditionalFormatting xmlns:xm="http://schemas.microsoft.com/office/excel/2006/main">
          <x14:cfRule type="containsText" priority="3" text="Ниже среднего" id="{00320090-0051-4245-83BA-00EC00A5002A}">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2" text="Низкий уровень" id="{00AC005B-00A7-4443-89AB-008C0074003C}">
            <xm:f>NOT(ISERROR(SEARCH("Низкий уровень",D9)))</xm:f>
            <x14:dxf>
              <fill>
                <patternFill patternType="solid">
                  <fgColor indexed="2"/>
                  <bgColor indexed="2"/>
                </patternFill>
              </fill>
            </x14:dxf>
          </x14:cfRule>
          <xm:sqref>F13</xm:sqref>
        </x14:conditionalFormatting>
        <x14:conditionalFormatting xmlns:xm="http://schemas.microsoft.com/office/excel/2006/main">
          <x14:cfRule type="containsText" priority="2" text="Низкий уровень" id="{00A900BF-00C0-4657-AEFD-00D300D5003C}">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1" text="Невозможно измерить" id="{001300B2-00AD-40E8-A806-008600B0005F}">
            <xm:f>NOT(ISERROR(SEARCH("Невозможно измерить",D9)))</xm:f>
            <x14:dxf>
              <fill>
                <patternFill patternType="solid">
                  <fgColor rgb="FF7F7F7F"/>
                  <bgColor rgb="FF7F7F7F"/>
                </patternFill>
              </fill>
            </x14:dxf>
          </x14:cfRule>
          <xm:sqref>F13</xm:sqref>
        </x14:conditionalFormatting>
        <x14:conditionalFormatting xmlns:xm="http://schemas.microsoft.com/office/excel/2006/main">
          <x14:cfRule type="containsText" priority="1" text="Невозможно измерить" id="{002C00CA-0013-4DEF-AA38-0083009E0052}">
            <xm:f>NOT(ISERROR(SEARCH("Невозможно измерить",D9)))</xm:f>
            <x14:dxf>
              <fill>
                <patternFill patternType="solid">
                  <fgColor rgb="FF7F7F7F"/>
                  <bgColor rgb="FF7F7F7F"/>
                </patternFill>
              </fill>
            </x14:dxf>
          </x14:cfRule>
          <xm:sqref>F14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8" zoomScale="100" workbookViewId="0">
      <selection activeCell="A1" activeCellId="0" sqref="A1"/>
    </sheetView>
  </sheetViews>
  <sheetFormatPr defaultRowHeight="14.25"/>
  <cols>
    <col customWidth="1" min="1" max="1" style="46" width="21.00390625"/>
    <col customWidth="1" min="2" max="2" style="46" width="19.57421875"/>
    <col customWidth="1" min="3" max="3" style="743" width="6.7109375"/>
    <col customWidth="1" min="4" max="4" style="46" width="22.00390625"/>
    <col customWidth="1" min="5" max="5" style="46" width="13.8515625"/>
    <col customWidth="1" min="6" max="6" style="46" width="13.7109375"/>
    <col customWidth="1" min="7" max="7" style="46" width="84.57421875"/>
    <col min="8" max="8" style="46" width="9.140625"/>
    <col customWidth="1" min="9" max="9" style="46" width="23.57421875"/>
    <col customWidth="1" min="10" max="10" style="46" width="27.8515625"/>
    <col min="11" max="16384" style="46" width="9.140625"/>
  </cols>
  <sheetData>
    <row r="1" ht="15">
      <c r="A1" s="633" t="s">
        <v>153</v>
      </c>
      <c r="B1" s="614"/>
      <c r="C1" s="615"/>
      <c r="D1" s="614"/>
      <c r="E1" s="614"/>
      <c r="F1" s="614"/>
      <c r="G1" s="614"/>
      <c r="H1" s="614"/>
      <c r="I1" s="614"/>
    </row>
    <row r="2" s="46" customFormat="1" ht="30">
      <c r="A2" s="744" t="s">
        <v>154</v>
      </c>
      <c r="B2" s="744" t="s">
        <v>127</v>
      </c>
      <c r="C2" s="744" t="s">
        <v>196</v>
      </c>
      <c r="D2" s="154" t="s">
        <v>155</v>
      </c>
      <c r="E2" s="63" t="s">
        <v>8</v>
      </c>
      <c r="F2" s="64"/>
      <c r="G2" s="745" t="s">
        <v>156</v>
      </c>
      <c r="H2" s="389" t="s">
        <v>230</v>
      </c>
      <c r="I2" s="388" t="s">
        <v>158</v>
      </c>
    </row>
    <row r="3" ht="77.25" customHeight="1">
      <c r="A3" s="746" t="s">
        <v>148</v>
      </c>
      <c r="B3" s="531" t="s">
        <v>149</v>
      </c>
      <c r="C3" s="19">
        <v>1</v>
      </c>
      <c r="D3" s="261" t="s">
        <v>29</v>
      </c>
      <c r="E3" s="651">
        <v>1</v>
      </c>
      <c r="F3" s="234" t="s">
        <v>30</v>
      </c>
      <c r="G3" s="396" t="s">
        <v>791</v>
      </c>
      <c r="H3" s="292" t="s">
        <v>14</v>
      </c>
      <c r="I3" s="147" t="s">
        <v>15</v>
      </c>
    </row>
    <row r="4" ht="145.5" customHeight="1">
      <c r="A4" s="747"/>
      <c r="B4" s="534"/>
      <c r="C4" s="19">
        <v>2</v>
      </c>
      <c r="D4" s="261" t="s">
        <v>26</v>
      </c>
      <c r="E4" s="651">
        <v>1</v>
      </c>
      <c r="F4" s="234" t="s">
        <v>30</v>
      </c>
      <c r="G4" s="264" t="s">
        <v>792</v>
      </c>
      <c r="H4" s="292" t="s">
        <v>14</v>
      </c>
      <c r="I4" s="147" t="s">
        <v>15</v>
      </c>
    </row>
    <row r="5" ht="89.25" customHeight="1">
      <c r="A5" s="747"/>
      <c r="B5" s="534"/>
      <c r="C5" s="19">
        <v>3</v>
      </c>
      <c r="D5" s="261" t="s">
        <v>12</v>
      </c>
      <c r="E5" s="649">
        <v>0</v>
      </c>
      <c r="F5" s="544" t="s">
        <v>161</v>
      </c>
      <c r="G5" s="264" t="s">
        <v>793</v>
      </c>
      <c r="H5" s="292" t="s">
        <v>14</v>
      </c>
      <c r="I5" s="147" t="s">
        <v>15</v>
      </c>
    </row>
    <row r="6" ht="144" customHeight="1">
      <c r="A6" s="747"/>
      <c r="B6" s="534"/>
      <c r="C6" s="19">
        <v>4</v>
      </c>
      <c r="D6" s="260" t="s">
        <v>20</v>
      </c>
      <c r="E6" s="544">
        <v>0</v>
      </c>
      <c r="F6" s="544" t="s">
        <v>161</v>
      </c>
      <c r="G6" s="264" t="s">
        <v>794</v>
      </c>
      <c r="H6" s="292" t="s">
        <v>14</v>
      </c>
      <c r="I6" s="147" t="s">
        <v>15</v>
      </c>
      <c r="J6" s="46"/>
    </row>
    <row r="7" ht="99.75" customHeight="1">
      <c r="A7" s="747"/>
      <c r="B7" s="534"/>
      <c r="C7" s="19">
        <v>5</v>
      </c>
      <c r="D7" s="27" t="s">
        <v>23</v>
      </c>
      <c r="E7" s="544">
        <v>0</v>
      </c>
      <c r="F7" s="544" t="s">
        <v>161</v>
      </c>
      <c r="G7" s="401" t="s">
        <v>795</v>
      </c>
      <c r="H7" s="292" t="s">
        <v>14</v>
      </c>
      <c r="I7" s="147" t="s">
        <v>15</v>
      </c>
    </row>
    <row r="8" ht="75" customHeight="1">
      <c r="A8" s="747"/>
      <c r="B8" s="534"/>
      <c r="C8" s="19">
        <v>6</v>
      </c>
      <c r="D8" s="261" t="s">
        <v>22</v>
      </c>
      <c r="E8" s="544">
        <v>0</v>
      </c>
      <c r="F8" s="544" t="s">
        <v>161</v>
      </c>
      <c r="G8" s="739" t="s">
        <v>796</v>
      </c>
      <c r="H8" s="292" t="s">
        <v>14</v>
      </c>
      <c r="I8" s="147" t="s">
        <v>15</v>
      </c>
    </row>
    <row r="9" ht="99.75">
      <c r="A9" s="747"/>
      <c r="B9" s="534"/>
      <c r="C9" s="13">
        <v>7</v>
      </c>
      <c r="D9" s="261" t="s">
        <v>19</v>
      </c>
      <c r="E9" s="147" t="s">
        <v>250</v>
      </c>
      <c r="F9" s="261" t="s">
        <v>251</v>
      </c>
      <c r="G9" s="401" t="s">
        <v>797</v>
      </c>
      <c r="H9" s="292" t="s">
        <v>14</v>
      </c>
      <c r="I9" s="18" t="s">
        <v>15</v>
      </c>
      <c r="J9" s="693"/>
    </row>
    <row r="10" ht="57">
      <c r="A10" s="747"/>
      <c r="B10" s="534"/>
      <c r="C10" s="13">
        <v>8</v>
      </c>
      <c r="D10" s="347" t="s">
        <v>32</v>
      </c>
      <c r="E10" s="147" t="s">
        <v>250</v>
      </c>
      <c r="F10" s="261" t="s">
        <v>251</v>
      </c>
      <c r="G10" s="292" t="s">
        <v>284</v>
      </c>
      <c r="H10" s="229" t="s">
        <v>168</v>
      </c>
      <c r="I10" s="147" t="s">
        <v>15</v>
      </c>
      <c r="J10" s="403"/>
    </row>
    <row r="11" ht="57">
      <c r="A11" s="748"/>
      <c r="B11" s="538"/>
      <c r="C11" s="13">
        <v>9</v>
      </c>
      <c r="D11" s="347" t="s">
        <v>17</v>
      </c>
      <c r="E11" s="544">
        <v>0</v>
      </c>
      <c r="F11" s="236" t="s">
        <v>161</v>
      </c>
      <c r="G11" s="292" t="s">
        <v>798</v>
      </c>
      <c r="H11" s="229"/>
      <c r="I11" s="147"/>
      <c r="J11" s="403"/>
    </row>
    <row r="12" ht="15">
      <c r="A12" s="72"/>
      <c r="B12" s="493"/>
      <c r="C12" s="749"/>
      <c r="D12" s="87"/>
      <c r="E12" s="750">
        <f>(E3+E4+E5+E6+E7+E8)/7</f>
        <v>0.2857142857142857</v>
      </c>
      <c r="F12" s="147"/>
      <c r="G12" s="751"/>
      <c r="H12" s="292" t="s">
        <v>14</v>
      </c>
      <c r="I12" s="74" t="s">
        <v>15</v>
      </c>
      <c r="J12" s="403"/>
    </row>
    <row r="13" ht="14.25">
      <c r="A13" s="752"/>
      <c r="B13" s="752"/>
      <c r="C13" s="752"/>
      <c r="D13" s="752"/>
      <c r="E13" s="752"/>
      <c r="F13" s="752"/>
      <c r="G13" s="752"/>
      <c r="H13" s="752"/>
      <c r="I13" s="752"/>
    </row>
    <row r="14" ht="17.25">
      <c r="A14" s="570" t="s">
        <v>193</v>
      </c>
      <c r="B14" s="752"/>
      <c r="C14" s="752"/>
      <c r="D14" s="752"/>
      <c r="E14" s="752"/>
      <c r="F14" s="752"/>
      <c r="G14" s="752"/>
      <c r="H14" s="752"/>
      <c r="I14" s="752"/>
      <c r="J14" s="46"/>
    </row>
    <row r="15" ht="14.25">
      <c r="A15" s="752"/>
      <c r="B15" s="752"/>
      <c r="C15" s="752"/>
      <c r="D15" s="752"/>
      <c r="E15" s="752"/>
      <c r="F15" s="752"/>
      <c r="G15" s="752"/>
      <c r="H15" s="752"/>
      <c r="I15" s="752"/>
      <c r="J15" s="46"/>
    </row>
    <row r="16" ht="54" customHeight="1">
      <c r="A16" s="176" t="s">
        <v>799</v>
      </c>
      <c r="B16" s="168" t="s">
        <v>800</v>
      </c>
      <c r="C16" s="169"/>
      <c r="D16" s="170"/>
      <c r="E16" s="753">
        <v>0.28999999999999998</v>
      </c>
      <c r="F16" s="516" t="s">
        <v>13</v>
      </c>
      <c r="G16" s="78" t="s">
        <v>801</v>
      </c>
      <c r="H16" s="79"/>
      <c r="I16" s="80"/>
      <c r="J16" s="12"/>
    </row>
    <row r="17" ht="14.25">
      <c r="A17" s="46"/>
      <c r="B17" s="46"/>
      <c r="C17" s="743"/>
      <c r="D17" s="46"/>
      <c r="E17" s="46"/>
      <c r="F17" s="46"/>
      <c r="G17" s="46"/>
      <c r="H17" s="46"/>
      <c r="I17" s="46"/>
      <c r="J17" s="46"/>
    </row>
    <row r="18" ht="14.25">
      <c r="A18" s="46"/>
      <c r="B18" s="46"/>
      <c r="C18" s="743"/>
      <c r="D18" s="46"/>
      <c r="E18" s="46"/>
      <c r="F18" s="46"/>
      <c r="G18" s="46"/>
      <c r="H18" s="46"/>
      <c r="I18" s="46"/>
      <c r="J18" s="46"/>
    </row>
    <row r="19" ht="15">
      <c r="A19" s="633" t="s">
        <v>600</v>
      </c>
      <c r="B19" s="614"/>
      <c r="C19" s="615"/>
      <c r="D19" s="614"/>
      <c r="E19" s="614"/>
      <c r="F19" s="614"/>
      <c r="G19" s="614"/>
      <c r="H19" s="614"/>
      <c r="I19" s="614"/>
      <c r="J19" s="46"/>
    </row>
    <row r="20" ht="30">
      <c r="A20" s="744" t="s">
        <v>154</v>
      </c>
      <c r="B20" s="744" t="s">
        <v>127</v>
      </c>
      <c r="C20" s="744" t="s">
        <v>196</v>
      </c>
      <c r="D20" s="154" t="s">
        <v>155</v>
      </c>
      <c r="E20" s="63" t="s">
        <v>8</v>
      </c>
      <c r="F20" s="64"/>
      <c r="G20" s="745" t="s">
        <v>156</v>
      </c>
      <c r="H20" s="389" t="s">
        <v>230</v>
      </c>
      <c r="I20" s="388" t="s">
        <v>158</v>
      </c>
      <c r="J20" s="46"/>
    </row>
    <row r="21" ht="99.75">
      <c r="A21" s="754" t="s">
        <v>148</v>
      </c>
      <c r="B21" s="553" t="s">
        <v>149</v>
      </c>
      <c r="C21" s="19">
        <v>1</v>
      </c>
      <c r="D21" s="261" t="s">
        <v>173</v>
      </c>
      <c r="E21" s="649">
        <v>0</v>
      </c>
      <c r="F21" s="236" t="s">
        <v>161</v>
      </c>
      <c r="G21" s="264" t="s">
        <v>802</v>
      </c>
      <c r="H21" s="511" t="s">
        <v>62</v>
      </c>
      <c r="I21" s="261" t="s">
        <v>66</v>
      </c>
    </row>
    <row r="22" ht="99.75">
      <c r="A22" s="754"/>
      <c r="B22" s="553"/>
      <c r="C22" s="19">
        <v>2</v>
      </c>
      <c r="D22" s="261" t="s">
        <v>211</v>
      </c>
      <c r="E22" s="755">
        <v>1</v>
      </c>
      <c r="F22" s="392" t="s">
        <v>30</v>
      </c>
      <c r="G22" s="264" t="s">
        <v>803</v>
      </c>
      <c r="H22" s="511" t="s">
        <v>62</v>
      </c>
      <c r="I22" s="261" t="s">
        <v>66</v>
      </c>
    </row>
    <row r="23" ht="57">
      <c r="A23" s="754"/>
      <c r="B23" s="553"/>
      <c r="C23" s="19">
        <v>3</v>
      </c>
      <c r="D23" s="261" t="s">
        <v>104</v>
      </c>
      <c r="E23" s="689">
        <v>0.80000000000000004</v>
      </c>
      <c r="F23" s="392" t="s">
        <v>27</v>
      </c>
      <c r="G23" s="264" t="s">
        <v>804</v>
      </c>
      <c r="H23" s="19" t="s">
        <v>62</v>
      </c>
      <c r="I23" s="261" t="s">
        <v>63</v>
      </c>
    </row>
    <row r="24" ht="57">
      <c r="A24" s="754"/>
      <c r="B24" s="553"/>
      <c r="C24" s="19">
        <v>4</v>
      </c>
      <c r="D24" s="261" t="s">
        <v>94</v>
      </c>
      <c r="E24" s="544">
        <v>0</v>
      </c>
      <c r="F24" s="236" t="s">
        <v>161</v>
      </c>
      <c r="G24" s="264" t="s">
        <v>805</v>
      </c>
      <c r="H24" s="19" t="s">
        <v>62</v>
      </c>
      <c r="I24" s="265" t="s">
        <v>66</v>
      </c>
    </row>
    <row r="25" ht="57">
      <c r="A25" s="754"/>
      <c r="B25" s="553"/>
      <c r="C25" s="19">
        <v>5</v>
      </c>
      <c r="D25" s="261" t="s">
        <v>65</v>
      </c>
      <c r="E25" s="544">
        <v>0</v>
      </c>
      <c r="F25" s="236" t="s">
        <v>161</v>
      </c>
      <c r="G25" s="739" t="s">
        <v>806</v>
      </c>
      <c r="H25" s="19" t="s">
        <v>62</v>
      </c>
      <c r="I25" s="229" t="s">
        <v>66</v>
      </c>
    </row>
    <row r="26" ht="51.75" customHeight="1">
      <c r="A26" s="754"/>
      <c r="B26" s="553"/>
      <c r="C26" s="13">
        <v>6</v>
      </c>
      <c r="D26" s="261" t="s">
        <v>79</v>
      </c>
      <c r="E26" s="544">
        <v>0</v>
      </c>
      <c r="F26" s="236" t="s">
        <v>161</v>
      </c>
      <c r="G26" s="756" t="s">
        <v>807</v>
      </c>
      <c r="H26" s="19" t="s">
        <v>62</v>
      </c>
      <c r="I26" s="243" t="s">
        <v>63</v>
      </c>
    </row>
    <row r="27" ht="42.75">
      <c r="A27" s="754"/>
      <c r="B27" s="553"/>
      <c r="C27" s="13">
        <v>7</v>
      </c>
      <c r="D27" s="757" t="s">
        <v>100</v>
      </c>
      <c r="E27" s="544">
        <v>0</v>
      </c>
      <c r="F27" s="236" t="s">
        <v>161</v>
      </c>
      <c r="G27" s="229" t="s">
        <v>808</v>
      </c>
      <c r="H27" s="19" t="s">
        <v>62</v>
      </c>
      <c r="I27" s="243" t="s">
        <v>63</v>
      </c>
    </row>
    <row r="28" ht="128.25">
      <c r="A28" s="754"/>
      <c r="B28" s="553"/>
      <c r="C28" s="13">
        <v>8</v>
      </c>
      <c r="D28" s="206" t="s">
        <v>90</v>
      </c>
      <c r="E28" s="392">
        <v>1</v>
      </c>
      <c r="F28" s="392" t="s">
        <v>30</v>
      </c>
      <c r="G28" s="229" t="s">
        <v>809</v>
      </c>
      <c r="H28" s="19" t="s">
        <v>62</v>
      </c>
      <c r="I28" s="243" t="s">
        <v>70</v>
      </c>
    </row>
    <row r="29" ht="57">
      <c r="A29" s="754"/>
      <c r="B29" s="553"/>
      <c r="C29" s="13">
        <v>9</v>
      </c>
      <c r="D29" s="206" t="s">
        <v>98</v>
      </c>
      <c r="E29" s="544">
        <v>0</v>
      </c>
      <c r="F29" s="236" t="s">
        <v>161</v>
      </c>
      <c r="G29" s="229" t="s">
        <v>810</v>
      </c>
      <c r="H29" s="19" t="s">
        <v>62</v>
      </c>
      <c r="I29" s="243" t="s">
        <v>70</v>
      </c>
      <c r="J29" s="46"/>
    </row>
    <row r="30" ht="42.75">
      <c r="A30" s="754"/>
      <c r="B30" s="553"/>
      <c r="C30" s="13">
        <v>10</v>
      </c>
      <c r="D30" s="757" t="s">
        <v>82</v>
      </c>
      <c r="E30" s="544">
        <v>0</v>
      </c>
      <c r="F30" s="236" t="s">
        <v>161</v>
      </c>
      <c r="G30" s="229" t="s">
        <v>793</v>
      </c>
      <c r="H30" s="19" t="s">
        <v>62</v>
      </c>
      <c r="I30" s="243" t="s">
        <v>66</v>
      </c>
    </row>
    <row r="31" ht="85.5">
      <c r="A31" s="754"/>
      <c r="B31" s="553"/>
      <c r="C31" s="13">
        <v>11</v>
      </c>
      <c r="D31" s="757" t="s">
        <v>69</v>
      </c>
      <c r="E31" s="544">
        <v>0</v>
      </c>
      <c r="F31" s="236" t="s">
        <v>161</v>
      </c>
      <c r="G31" s="292" t="s">
        <v>811</v>
      </c>
      <c r="H31" s="19" t="s">
        <v>62</v>
      </c>
      <c r="I31" s="243" t="s">
        <v>70</v>
      </c>
    </row>
    <row r="32" ht="57">
      <c r="A32" s="754"/>
      <c r="B32" s="553"/>
      <c r="C32" s="13">
        <v>12</v>
      </c>
      <c r="D32" s="757" t="s">
        <v>61</v>
      </c>
      <c r="E32" s="544">
        <v>0</v>
      </c>
      <c r="F32" s="236" t="s">
        <v>161</v>
      </c>
      <c r="G32" s="292" t="s">
        <v>812</v>
      </c>
      <c r="H32" s="19" t="s">
        <v>62</v>
      </c>
      <c r="I32" s="243" t="s">
        <v>70</v>
      </c>
    </row>
    <row r="33" ht="45">
      <c r="A33" s="754"/>
      <c r="B33" s="553"/>
      <c r="C33" s="13">
        <v>13</v>
      </c>
      <c r="D33" s="757" t="s">
        <v>67</v>
      </c>
      <c r="E33" s="544">
        <v>0</v>
      </c>
      <c r="F33" s="236" t="s">
        <v>161</v>
      </c>
      <c r="G33" s="292" t="s">
        <v>813</v>
      </c>
      <c r="H33" s="19" t="s">
        <v>62</v>
      </c>
      <c r="I33" s="265" t="s">
        <v>66</v>
      </c>
    </row>
    <row r="34" ht="45">
      <c r="A34" s="754"/>
      <c r="B34" s="553"/>
      <c r="C34" s="13">
        <v>14</v>
      </c>
      <c r="D34" s="757" t="s">
        <v>85</v>
      </c>
      <c r="E34" s="544">
        <v>0</v>
      </c>
      <c r="F34" s="236" t="s">
        <v>161</v>
      </c>
      <c r="G34" s="292" t="s">
        <v>814</v>
      </c>
      <c r="H34" s="19" t="s">
        <v>62</v>
      </c>
      <c r="I34" s="229" t="s">
        <v>70</v>
      </c>
    </row>
    <row r="35" ht="71.25">
      <c r="A35" s="754"/>
      <c r="B35" s="553"/>
      <c r="C35" s="13">
        <v>15</v>
      </c>
      <c r="D35" s="757" t="s">
        <v>185</v>
      </c>
      <c r="E35" s="544">
        <v>0</v>
      </c>
      <c r="F35" s="236" t="s">
        <v>161</v>
      </c>
      <c r="G35" s="292" t="s">
        <v>815</v>
      </c>
      <c r="H35" s="19" t="s">
        <v>62</v>
      </c>
      <c r="I35" s="229" t="s">
        <v>63</v>
      </c>
    </row>
    <row r="36" ht="57">
      <c r="A36" s="754"/>
      <c r="B36" s="553"/>
      <c r="C36" s="13">
        <v>16</v>
      </c>
      <c r="D36" s="757" t="s">
        <v>72</v>
      </c>
      <c r="E36" s="392">
        <v>1</v>
      </c>
      <c r="F36" s="234" t="s">
        <v>30</v>
      </c>
      <c r="G36" s="229" t="s">
        <v>341</v>
      </c>
      <c r="H36" s="19" t="s">
        <v>62</v>
      </c>
      <c r="I36" s="205" t="s">
        <v>66</v>
      </c>
    </row>
    <row r="37" ht="45">
      <c r="A37" s="754"/>
      <c r="B37" s="553"/>
      <c r="C37" s="13">
        <v>17</v>
      </c>
      <c r="D37" s="757" t="s">
        <v>88</v>
      </c>
      <c r="E37" s="544">
        <v>0</v>
      </c>
      <c r="F37" s="236" t="s">
        <v>161</v>
      </c>
      <c r="G37" s="292" t="s">
        <v>813</v>
      </c>
      <c r="H37" s="19" t="s">
        <v>62</v>
      </c>
      <c r="I37" s="205" t="s">
        <v>66</v>
      </c>
    </row>
    <row r="38" ht="150">
      <c r="A38" s="754"/>
      <c r="B38" s="553"/>
      <c r="C38" s="13">
        <v>18</v>
      </c>
      <c r="D38" s="757" t="s">
        <v>93</v>
      </c>
      <c r="E38" s="544">
        <v>0</v>
      </c>
      <c r="F38" s="236" t="s">
        <v>161</v>
      </c>
      <c r="G38" s="292" t="s">
        <v>816</v>
      </c>
      <c r="H38" s="19" t="s">
        <v>62</v>
      </c>
      <c r="I38" s="229" t="s">
        <v>66</v>
      </c>
    </row>
    <row r="39" ht="60">
      <c r="A39" s="754"/>
      <c r="B39" s="553"/>
      <c r="C39" s="13">
        <v>19</v>
      </c>
      <c r="D39" s="757" t="s">
        <v>80</v>
      </c>
      <c r="E39" s="544">
        <v>0</v>
      </c>
      <c r="F39" s="236" t="s">
        <v>161</v>
      </c>
      <c r="G39" s="292" t="s">
        <v>817</v>
      </c>
      <c r="H39" s="19" t="s">
        <v>62</v>
      </c>
      <c r="I39" s="229" t="s">
        <v>70</v>
      </c>
    </row>
    <row r="40" ht="42.75">
      <c r="A40" s="754"/>
      <c r="B40" s="553"/>
      <c r="C40" s="13">
        <v>20</v>
      </c>
      <c r="D40" s="757" t="s">
        <v>91</v>
      </c>
      <c r="E40" s="544">
        <v>0</v>
      </c>
      <c r="F40" s="236" t="s">
        <v>161</v>
      </c>
      <c r="G40" s="292" t="s">
        <v>818</v>
      </c>
      <c r="H40" s="19" t="s">
        <v>62</v>
      </c>
      <c r="I40" s="229" t="s">
        <v>70</v>
      </c>
    </row>
    <row r="41" ht="30">
      <c r="A41" s="754"/>
      <c r="B41" s="553"/>
      <c r="C41" s="13">
        <v>21</v>
      </c>
      <c r="D41" s="757" t="s">
        <v>92</v>
      </c>
      <c r="E41" s="544">
        <v>0</v>
      </c>
      <c r="F41" s="236" t="s">
        <v>161</v>
      </c>
      <c r="G41" s="292" t="s">
        <v>819</v>
      </c>
      <c r="H41" s="19" t="s">
        <v>62</v>
      </c>
      <c r="I41" s="205" t="s">
        <v>63</v>
      </c>
    </row>
    <row r="42" ht="85.5">
      <c r="A42" s="754"/>
      <c r="B42" s="553"/>
      <c r="C42" s="13">
        <v>22</v>
      </c>
      <c r="D42" s="757" t="s">
        <v>74</v>
      </c>
      <c r="E42" s="544">
        <v>0</v>
      </c>
      <c r="F42" s="236" t="s">
        <v>161</v>
      </c>
      <c r="G42" s="292" t="s">
        <v>818</v>
      </c>
      <c r="H42" s="19" t="s">
        <v>62</v>
      </c>
      <c r="I42" s="229" t="s">
        <v>63</v>
      </c>
    </row>
    <row r="43" ht="71.25">
      <c r="A43" s="754"/>
      <c r="B43" s="553"/>
      <c r="C43" s="13">
        <v>23</v>
      </c>
      <c r="D43" s="757" t="s">
        <v>84</v>
      </c>
      <c r="E43" s="544">
        <v>0</v>
      </c>
      <c r="F43" s="236" t="s">
        <v>161</v>
      </c>
      <c r="G43" s="292" t="s">
        <v>814</v>
      </c>
      <c r="H43" s="19" t="s">
        <v>62</v>
      </c>
      <c r="I43" s="229" t="s">
        <v>70</v>
      </c>
    </row>
    <row r="44" ht="156.75">
      <c r="A44" s="754"/>
      <c r="B44" s="553"/>
      <c r="C44" s="13">
        <v>24</v>
      </c>
      <c r="D44" s="757" t="s">
        <v>77</v>
      </c>
      <c r="E44" s="544">
        <v>0</v>
      </c>
      <c r="F44" s="236" t="s">
        <v>161</v>
      </c>
      <c r="G44" s="292" t="s">
        <v>818</v>
      </c>
      <c r="H44" s="19" t="s">
        <v>62</v>
      </c>
      <c r="I44" s="205" t="s">
        <v>70</v>
      </c>
    </row>
    <row r="45" ht="30">
      <c r="A45" s="754"/>
      <c r="B45" s="553"/>
      <c r="C45" s="13">
        <v>25</v>
      </c>
      <c r="D45" s="757" t="s">
        <v>76</v>
      </c>
      <c r="E45" s="544">
        <v>0</v>
      </c>
      <c r="F45" s="236" t="s">
        <v>161</v>
      </c>
      <c r="G45" s="292" t="s">
        <v>349</v>
      </c>
      <c r="H45" s="19" t="s">
        <v>62</v>
      </c>
      <c r="I45" s="229" t="s">
        <v>70</v>
      </c>
    </row>
    <row r="46" ht="60">
      <c r="A46" s="754"/>
      <c r="B46" s="553"/>
      <c r="C46" s="13">
        <v>26</v>
      </c>
      <c r="D46" s="757" t="s">
        <v>96</v>
      </c>
      <c r="E46" s="544">
        <v>0</v>
      </c>
      <c r="F46" s="236" t="s">
        <v>161</v>
      </c>
      <c r="G46" s="292" t="s">
        <v>820</v>
      </c>
      <c r="H46" s="19" t="s">
        <v>62</v>
      </c>
      <c r="I46" s="205" t="s">
        <v>66</v>
      </c>
    </row>
    <row r="47" ht="15">
      <c r="A47" s="758"/>
      <c r="B47" s="245"/>
      <c r="C47" s="246"/>
      <c r="D47" s="759"/>
      <c r="E47" s="409">
        <f>(E21+E22+E23+E24+E25+E26+E27+E28+E29+E30+E31+E32+E33+E34+E35+E36+E37+E38+E39+E40+E41+E42+E43+E44+E45+E46)/26</f>
        <v>0.14615384615384613</v>
      </c>
      <c r="F47" s="760"/>
      <c r="G47" s="590"/>
      <c r="H47" s="249"/>
      <c r="I47" s="248"/>
    </row>
    <row r="48" ht="15">
      <c r="A48" s="758"/>
      <c r="B48" s="245"/>
      <c r="C48" s="246"/>
      <c r="D48" s="759"/>
      <c r="E48" s="742"/>
      <c r="F48" s="760"/>
      <c r="G48" s="590"/>
      <c r="H48" s="249"/>
      <c r="I48" s="248"/>
    </row>
    <row r="49" ht="17.25">
      <c r="A49" s="570" t="s">
        <v>193</v>
      </c>
      <c r="B49" s="752"/>
      <c r="C49" s="752"/>
      <c r="D49" s="752"/>
      <c r="E49" s="752"/>
      <c r="F49" s="752"/>
      <c r="G49" s="752"/>
      <c r="H49" s="752"/>
      <c r="I49" s="752"/>
      <c r="J49" s="46"/>
    </row>
    <row r="50" ht="47.25" customHeight="1">
      <c r="A50" s="176" t="s">
        <v>799</v>
      </c>
      <c r="B50" s="168" t="s">
        <v>800</v>
      </c>
      <c r="C50" s="169"/>
      <c r="D50" s="170"/>
      <c r="E50" s="593">
        <v>0.14999999999999999</v>
      </c>
      <c r="F50" s="761" t="s">
        <v>58</v>
      </c>
      <c r="G50" s="85" t="s">
        <v>821</v>
      </c>
      <c r="H50" s="86"/>
      <c r="I50" s="87"/>
      <c r="J50" s="12"/>
    </row>
  </sheetData>
  <mergeCells count="10">
    <mergeCell ref="E2:F2"/>
    <mergeCell ref="A3:A11"/>
    <mergeCell ref="B3:B11"/>
    <mergeCell ref="B16:D16"/>
    <mergeCell ref="G16:I16"/>
    <mergeCell ref="E20:F20"/>
    <mergeCell ref="A21:A45"/>
    <mergeCell ref="B21:B45"/>
    <mergeCell ref="B50:D50"/>
    <mergeCell ref="G50:I50"/>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3A0076-0017-48FD-B8B1-00BC00560087}">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6900EC-00F6-470A-A9EA-0037004A00EC}">
            <xm:f>NOT(ISERROR(SEARCH("Высокий уровень",D9)))</xm:f>
            <x14:dxf>
              <fill>
                <patternFill patternType="solid">
                  <fgColor rgb="FF70AD47"/>
                  <bgColor rgb="FF70AD47"/>
                </patternFill>
              </fill>
            </x14:dxf>
          </x14:cfRule>
          <xm:sqref>F18</xm:sqref>
        </x14:conditionalFormatting>
        <x14:conditionalFormatting xmlns:xm="http://schemas.microsoft.com/office/excel/2006/main">
          <x14:cfRule type="containsText" priority="6" text="Высокий уровень" id="{007200A1-0071-4120-B853-00BF007200A6}">
            <xm:f>NOT(ISERROR(SEARCH("Высокий уровень",D9)))</xm:f>
            <x14:dxf>
              <fill>
                <patternFill patternType="solid">
                  <fgColor rgb="FF70AD47"/>
                  <bgColor rgb="FF70AD47"/>
                </patternFill>
              </fill>
            </x14:dxf>
          </x14:cfRule>
          <xm:sqref>F49</xm:sqref>
        </x14:conditionalFormatting>
        <x14:conditionalFormatting xmlns:xm="http://schemas.microsoft.com/office/excel/2006/main">
          <x14:cfRule type="containsText" priority="5" text="Выше среднего" id="{00C0002B-00D4-4738-96F8-000A00250010}">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EB0062-0001-42FE-BCAA-008A00E7002A}">
            <xm:f>NOT(ISERROR(SEARCH("Выше среднего",D9)))</xm:f>
            <x14:dxf>
              <fill>
                <patternFill patternType="solid">
                  <fgColor rgb="FFA9D08D"/>
                  <bgColor rgb="FFA9D08D"/>
                </patternFill>
              </fill>
            </x14:dxf>
          </x14:cfRule>
          <xm:sqref>F18</xm:sqref>
        </x14:conditionalFormatting>
        <x14:conditionalFormatting xmlns:xm="http://schemas.microsoft.com/office/excel/2006/main">
          <x14:cfRule type="containsText" priority="5" text="Выше среднего" id="{003500BE-001B-418F-98C2-002E0099004B}">
            <xm:f>NOT(ISERROR(SEARCH("Выше среднего",D9)))</xm:f>
            <x14:dxf>
              <fill>
                <patternFill patternType="solid">
                  <fgColor rgb="FFA9D08D"/>
                  <bgColor rgb="FFA9D08D"/>
                </patternFill>
              </fill>
            </x14:dxf>
          </x14:cfRule>
          <xm:sqref>F49</xm:sqref>
        </x14:conditionalFormatting>
        <x14:conditionalFormatting xmlns:xm="http://schemas.microsoft.com/office/excel/2006/main">
          <x14:cfRule type="containsText" priority="4" text="Средний уровень" id="{00FE0020-0065-40EE-AC26-00C3007D008D}">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280082-0029-45FE-A73C-00FE002A008A}">
            <xm:f>NOT(ISERROR(SEARCH("Средний уровень",D9)))</xm:f>
            <x14:dxf>
              <font>
                <color theme="1" tint="0"/>
              </font>
              <fill>
                <patternFill patternType="solid">
                  <fgColor indexed="5"/>
                  <bgColor indexed="5"/>
                </patternFill>
              </fill>
            </x14:dxf>
          </x14:cfRule>
          <xm:sqref>F18</xm:sqref>
        </x14:conditionalFormatting>
        <x14:conditionalFormatting xmlns:xm="http://schemas.microsoft.com/office/excel/2006/main">
          <x14:cfRule type="containsText" priority="4" text="Средний уровень" id="{005900FA-00B2-460E-A70B-0050000D0011}">
            <xm:f>NOT(ISERROR(SEARCH("Средний уровень",D9)))</xm:f>
            <x14:dxf>
              <font>
                <color theme="1" tint="0"/>
              </font>
              <fill>
                <patternFill patternType="solid">
                  <fgColor indexed="5"/>
                  <bgColor indexed="5"/>
                </patternFill>
              </fill>
            </x14:dxf>
          </x14:cfRule>
          <xm:sqref>F49</xm:sqref>
        </x14:conditionalFormatting>
        <x14:conditionalFormatting xmlns:xm="http://schemas.microsoft.com/office/excel/2006/main">
          <x14:cfRule type="containsText" priority="3" text="Ниже среднего" id="{00D1000F-006C-4B44-AF5B-00AE0029004B}">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C200D6-009F-4538-8A54-007F00D300E9}">
            <xm:f>NOT(ISERROR(SEARCH("Ниже среднего",D9)))</xm:f>
            <x14:dxf>
              <fill>
                <patternFill patternType="solid">
                  <fgColor rgb="FFED7D31"/>
                  <bgColor rgb="FFED7D31"/>
                </patternFill>
              </fill>
            </x14:dxf>
          </x14:cfRule>
          <xm:sqref>F18</xm:sqref>
        </x14:conditionalFormatting>
        <x14:conditionalFormatting xmlns:xm="http://schemas.microsoft.com/office/excel/2006/main">
          <x14:cfRule type="containsText" priority="3" text="Ниже среднего" id="{000E00EF-0007-45FD-8A04-008400D400C9}">
            <xm:f>NOT(ISERROR(SEARCH("Ниже среднего",D9)))</xm:f>
            <x14:dxf>
              <fill>
                <patternFill patternType="solid">
                  <fgColor rgb="FFED7D31"/>
                  <bgColor rgb="FFED7D31"/>
                </patternFill>
              </fill>
            </x14:dxf>
          </x14:cfRule>
          <xm:sqref>F49</xm:sqref>
        </x14:conditionalFormatting>
        <x14:conditionalFormatting xmlns:xm="http://schemas.microsoft.com/office/excel/2006/main">
          <x14:cfRule type="containsText" priority="2" text="Низкий уровень" id="{003E007B-0018-40F2-944F-001E00400014}">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7E0057-0028-4595-A3BA-001800290041}">
            <xm:f>NOT(ISERROR(SEARCH("Низкий уровень",D9)))</xm:f>
            <x14:dxf>
              <fill>
                <patternFill patternType="solid">
                  <fgColor indexed="2"/>
                  <bgColor indexed="2"/>
                </patternFill>
              </fill>
            </x14:dxf>
          </x14:cfRule>
          <xm:sqref>F18</xm:sqref>
        </x14:conditionalFormatting>
        <x14:conditionalFormatting xmlns:xm="http://schemas.microsoft.com/office/excel/2006/main">
          <x14:cfRule type="containsText" priority="2" text="Низкий уровень" id="{003E00F5-002B-4C75-B6EE-005500D600FB}">
            <xm:f>NOT(ISERROR(SEARCH("Низкий уровень",D9)))</xm:f>
            <x14:dxf>
              <fill>
                <patternFill patternType="solid">
                  <fgColor indexed="2"/>
                  <bgColor indexed="2"/>
                </patternFill>
              </fill>
            </x14:dxf>
          </x14:cfRule>
          <xm:sqref>F49</xm:sqref>
        </x14:conditionalFormatting>
        <x14:conditionalFormatting xmlns:xm="http://schemas.microsoft.com/office/excel/2006/main">
          <x14:cfRule type="containsText" priority="1" text="Невозможно измерить" id="{0094000B-00F4-4880-8283-0005007900FF}">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830065-0031-4D42-81D9-00B600290034}">
            <xm:f>NOT(ISERROR(SEARCH("Невозможно измерить",D9)))</xm:f>
            <x14:dxf>
              <fill>
                <patternFill patternType="solid">
                  <fgColor rgb="FF7F7F7F"/>
                  <bgColor rgb="FF7F7F7F"/>
                </patternFill>
              </fill>
            </x14:dxf>
          </x14:cfRule>
          <xm:sqref>F18</xm:sqref>
        </x14:conditionalFormatting>
        <x14:conditionalFormatting xmlns:xm="http://schemas.microsoft.com/office/excel/2006/main">
          <x14:cfRule type="containsText" priority="1" text="Невозможно измерить" id="{00A0006D-0060-44A5-93C8-0009007D005A}">
            <xm:f>NOT(ISERROR(SEARCH("Невозможно измерить",D9)))</xm:f>
            <x14:dxf>
              <fill>
                <patternFill patternType="solid">
                  <fgColor rgb="FF7F7F7F"/>
                  <bgColor rgb="FF7F7F7F"/>
                </patternFill>
              </fill>
            </x14:dxf>
          </x14:cfRule>
          <xm:sqref>F49</xm:sqref>
        </x14:conditionalFormatting>
      </x14:conditionalFormatting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2" zoomScale="100" workbookViewId="0">
      <selection activeCell="A1" activeCellId="0" sqref="A1"/>
    </sheetView>
  </sheetViews>
  <sheetFormatPr defaultRowHeight="14.25"/>
  <cols>
    <col customWidth="1" min="1" max="1" style="429" width="20.57421875"/>
    <col customWidth="1" min="2" max="2" style="429" width="18.57421875"/>
    <col customWidth="1" min="3" max="3" style="429" width="6.00390625"/>
    <col customWidth="1" min="4" max="4" style="429" width="26.8515625"/>
    <col customWidth="1" min="5" max="5" style="429" width="12.57421875"/>
    <col customWidth="1" min="6" max="6" style="429" width="14.421875"/>
    <col customWidth="1" min="7" max="7" style="429" width="54.7109375"/>
    <col min="8" max="8" style="429" width="9.140625"/>
    <col customWidth="1" min="9" max="9" style="429" width="25.00390625"/>
    <col customWidth="1" min="10" max="10" style="429" width="22.421875"/>
    <col min="11" max="16384" style="429" width="9.140625"/>
  </cols>
  <sheetData>
    <row r="1" ht="15">
      <c r="A1" s="633" t="s">
        <v>153</v>
      </c>
      <c r="B1" s="762"/>
      <c r="C1" s="762"/>
      <c r="D1" s="762"/>
      <c r="E1" s="762"/>
      <c r="F1" s="762"/>
      <c r="G1" s="762"/>
      <c r="H1" s="762"/>
      <c r="I1" s="762"/>
    </row>
    <row r="2" ht="30">
      <c r="A2" s="285" t="s">
        <v>154</v>
      </c>
      <c r="B2" s="285" t="s">
        <v>127</v>
      </c>
      <c r="C2" s="285" t="s">
        <v>5</v>
      </c>
      <c r="D2" s="223" t="s">
        <v>155</v>
      </c>
      <c r="E2" s="221" t="s">
        <v>8</v>
      </c>
      <c r="F2" s="222"/>
      <c r="G2" s="223" t="s">
        <v>156</v>
      </c>
      <c r="H2" s="529" t="s">
        <v>230</v>
      </c>
      <c r="I2" s="223" t="s">
        <v>158</v>
      </c>
    </row>
    <row r="3" ht="144.75" customHeight="1">
      <c r="A3" s="530" t="s">
        <v>148</v>
      </c>
      <c r="B3" s="746" t="s">
        <v>151</v>
      </c>
      <c r="C3" s="147">
        <v>1</v>
      </c>
      <c r="D3" s="261" t="s">
        <v>29</v>
      </c>
      <c r="E3" s="689">
        <v>0.90000000000000002</v>
      </c>
      <c r="F3" s="392" t="s">
        <v>30</v>
      </c>
      <c r="G3" s="763" t="s">
        <v>822</v>
      </c>
      <c r="H3" s="292" t="s">
        <v>14</v>
      </c>
      <c r="I3" s="147" t="s">
        <v>15</v>
      </c>
    </row>
    <row r="4" ht="166.5" customHeight="1">
      <c r="A4" s="533"/>
      <c r="B4" s="747"/>
      <c r="C4" s="147">
        <v>2</v>
      </c>
      <c r="D4" s="261" t="s">
        <v>26</v>
      </c>
      <c r="E4" s="764">
        <v>0</v>
      </c>
      <c r="F4" s="765" t="s">
        <v>161</v>
      </c>
      <c r="G4" s="264" t="s">
        <v>823</v>
      </c>
      <c r="H4" s="292" t="s">
        <v>14</v>
      </c>
      <c r="I4" s="147" t="s">
        <v>15</v>
      </c>
      <c r="J4" s="766"/>
    </row>
    <row r="5" ht="42.75">
      <c r="A5" s="533"/>
      <c r="B5" s="747"/>
      <c r="C5" s="147">
        <v>3</v>
      </c>
      <c r="D5" s="261" t="s">
        <v>12</v>
      </c>
      <c r="E5" s="764">
        <v>0</v>
      </c>
      <c r="F5" s="765" t="s">
        <v>161</v>
      </c>
      <c r="G5" s="264" t="s">
        <v>824</v>
      </c>
      <c r="H5" s="292" t="s">
        <v>14</v>
      </c>
      <c r="I5" s="147" t="s">
        <v>15</v>
      </c>
    </row>
    <row r="6" ht="134.25" customHeight="1">
      <c r="A6" s="533"/>
      <c r="B6" s="747"/>
      <c r="C6" s="147">
        <v>4</v>
      </c>
      <c r="D6" s="238" t="s">
        <v>20</v>
      </c>
      <c r="E6" s="764">
        <v>0</v>
      </c>
      <c r="F6" s="765" t="s">
        <v>161</v>
      </c>
      <c r="G6" s="401" t="s">
        <v>825</v>
      </c>
      <c r="H6" s="292" t="s">
        <v>14</v>
      </c>
      <c r="I6" s="147" t="s">
        <v>15</v>
      </c>
      <c r="J6" s="767"/>
    </row>
    <row r="7" ht="107.25" customHeight="1">
      <c r="A7" s="533"/>
      <c r="B7" s="747"/>
      <c r="C7" s="147">
        <v>5</v>
      </c>
      <c r="D7" s="27" t="s">
        <v>23</v>
      </c>
      <c r="E7" s="764">
        <v>0</v>
      </c>
      <c r="F7" s="765" t="s">
        <v>161</v>
      </c>
      <c r="G7" s="347" t="s">
        <v>826</v>
      </c>
      <c r="H7" s="292" t="s">
        <v>14</v>
      </c>
      <c r="I7" s="147" t="s">
        <v>15</v>
      </c>
      <c r="J7" s="767"/>
    </row>
    <row r="8" ht="73.5" customHeight="1">
      <c r="A8" s="533"/>
      <c r="B8" s="747"/>
      <c r="C8" s="147">
        <v>6</v>
      </c>
      <c r="D8" s="261" t="s">
        <v>22</v>
      </c>
      <c r="E8" s="764">
        <v>0</v>
      </c>
      <c r="F8" s="765" t="s">
        <v>161</v>
      </c>
      <c r="G8" s="460" t="s">
        <v>796</v>
      </c>
      <c r="H8" s="292" t="s">
        <v>14</v>
      </c>
      <c r="I8" s="147" t="s">
        <v>15</v>
      </c>
    </row>
    <row r="9" ht="72.75" customHeight="1">
      <c r="A9" s="533"/>
      <c r="B9" s="747"/>
      <c r="C9" s="147">
        <v>7</v>
      </c>
      <c r="D9" s="261" t="s">
        <v>19</v>
      </c>
      <c r="E9" s="147" t="s">
        <v>250</v>
      </c>
      <c r="F9" s="261" t="s">
        <v>292</v>
      </c>
      <c r="G9" s="347" t="s">
        <v>797</v>
      </c>
      <c r="H9" s="292" t="s">
        <v>14</v>
      </c>
      <c r="I9" s="147" t="s">
        <v>15</v>
      </c>
      <c r="J9" s="429"/>
    </row>
    <row r="10" ht="92.25" customHeight="1">
      <c r="A10" s="533"/>
      <c r="B10" s="747"/>
      <c r="C10" s="147">
        <v>8</v>
      </c>
      <c r="D10" s="347" t="s">
        <v>32</v>
      </c>
      <c r="E10" s="147" t="s">
        <v>250</v>
      </c>
      <c r="F10" s="261" t="s">
        <v>292</v>
      </c>
      <c r="G10" s="230" t="s">
        <v>284</v>
      </c>
      <c r="H10" s="229" t="s">
        <v>168</v>
      </c>
      <c r="I10" s="147" t="s">
        <v>15</v>
      </c>
      <c r="J10" s="768"/>
    </row>
    <row r="11" ht="62.25" customHeight="1">
      <c r="A11" s="537"/>
      <c r="B11" s="748"/>
      <c r="C11" s="147">
        <v>9</v>
      </c>
      <c r="D11" s="347" t="s">
        <v>17</v>
      </c>
      <c r="E11" s="764">
        <v>0</v>
      </c>
      <c r="F11" s="765" t="s">
        <v>161</v>
      </c>
      <c r="G11" s="230" t="s">
        <v>798</v>
      </c>
      <c r="H11" s="292" t="s">
        <v>14</v>
      </c>
      <c r="I11" s="147" t="s">
        <v>15</v>
      </c>
      <c r="J11" s="768"/>
    </row>
    <row r="12" ht="62.25" customHeight="1">
      <c r="A12" s="539"/>
      <c r="B12" s="769"/>
      <c r="C12" s="548"/>
      <c r="D12" s="717"/>
      <c r="E12" s="770">
        <f>(E3+E4+E5+E6+E7+E8+E11)/7</f>
        <v>0.12857142857142859</v>
      </c>
      <c r="F12" s="548"/>
      <c r="G12" s="250"/>
      <c r="H12" s="590"/>
      <c r="I12" s="548"/>
      <c r="J12" s="768"/>
    </row>
    <row r="13" ht="17.25">
      <c r="A13" s="570" t="s">
        <v>193</v>
      </c>
      <c r="B13" s="567"/>
      <c r="C13" s="567"/>
      <c r="D13" s="567"/>
      <c r="E13" s="567"/>
      <c r="F13" s="567"/>
      <c r="G13" s="567"/>
      <c r="H13" s="567"/>
      <c r="I13" s="567"/>
    </row>
    <row r="14" ht="14.25">
      <c r="A14" s="567"/>
      <c r="B14" s="567"/>
      <c r="C14" s="567"/>
      <c r="D14" s="567"/>
      <c r="E14" s="567"/>
      <c r="F14" s="567"/>
      <c r="G14" s="567"/>
      <c r="H14" s="567"/>
      <c r="I14" s="567"/>
      <c r="J14" s="429"/>
    </row>
    <row r="15" ht="43.5" customHeight="1">
      <c r="A15" s="176" t="s">
        <v>799</v>
      </c>
      <c r="B15" s="168" t="s">
        <v>827</v>
      </c>
      <c r="C15" s="169"/>
      <c r="D15" s="170"/>
      <c r="E15" s="593">
        <v>0.13</v>
      </c>
      <c r="F15" s="771" t="s">
        <v>58</v>
      </c>
      <c r="G15" s="78" t="s">
        <v>828</v>
      </c>
      <c r="H15" s="79"/>
      <c r="I15" s="80"/>
      <c r="J15" s="12"/>
    </row>
    <row r="16" ht="14.25">
      <c r="A16" s="429"/>
      <c r="B16" s="429"/>
      <c r="C16" s="429"/>
      <c r="D16" s="429"/>
      <c r="E16" s="429"/>
      <c r="F16" s="429"/>
      <c r="G16" s="429"/>
      <c r="H16" s="429"/>
      <c r="I16" s="429"/>
      <c r="J16" s="429"/>
    </row>
    <row r="17" ht="15">
      <c r="A17" s="633" t="s">
        <v>600</v>
      </c>
      <c r="B17" s="762"/>
      <c r="C17" s="762"/>
      <c r="D17" s="762"/>
      <c r="E17" s="762"/>
      <c r="F17" s="762"/>
      <c r="G17" s="762"/>
      <c r="H17" s="762"/>
      <c r="I17" s="762"/>
    </row>
    <row r="18" ht="30">
      <c r="A18" s="285" t="s">
        <v>154</v>
      </c>
      <c r="B18" s="285" t="s">
        <v>127</v>
      </c>
      <c r="C18" s="285" t="s">
        <v>5</v>
      </c>
      <c r="D18" s="223"/>
      <c r="E18" s="221"/>
      <c r="F18" s="222"/>
      <c r="G18" s="223"/>
      <c r="H18" s="529" t="s">
        <v>230</v>
      </c>
      <c r="I18" s="223" t="s">
        <v>158</v>
      </c>
    </row>
    <row r="19" ht="142.5">
      <c r="A19" s="510" t="s">
        <v>148</v>
      </c>
      <c r="B19" s="772" t="s">
        <v>151</v>
      </c>
      <c r="C19" s="147">
        <v>1</v>
      </c>
      <c r="D19" s="261" t="s">
        <v>173</v>
      </c>
      <c r="E19" s="649">
        <v>0</v>
      </c>
      <c r="F19" s="544" t="s">
        <v>161</v>
      </c>
      <c r="G19" s="264" t="s">
        <v>829</v>
      </c>
      <c r="H19" s="147" t="s">
        <v>62</v>
      </c>
      <c r="I19" s="261" t="s">
        <v>66</v>
      </c>
      <c r="J19" s="429"/>
    </row>
    <row r="20" ht="142.5">
      <c r="A20" s="512"/>
      <c r="B20" s="773"/>
      <c r="C20" s="147">
        <v>2</v>
      </c>
      <c r="D20" s="261" t="s">
        <v>211</v>
      </c>
      <c r="E20" s="651">
        <v>1</v>
      </c>
      <c r="F20" s="392" t="s">
        <v>30</v>
      </c>
      <c r="G20" s="264" t="s">
        <v>830</v>
      </c>
      <c r="H20" s="147" t="s">
        <v>62</v>
      </c>
      <c r="I20" s="261" t="s">
        <v>66</v>
      </c>
      <c r="J20" s="429"/>
    </row>
    <row r="21" ht="42.75">
      <c r="A21" s="512"/>
      <c r="B21" s="773"/>
      <c r="C21" s="147">
        <v>3</v>
      </c>
      <c r="D21" s="261" t="s">
        <v>104</v>
      </c>
      <c r="E21" s="392">
        <v>1</v>
      </c>
      <c r="F21" s="392" t="s">
        <v>30</v>
      </c>
      <c r="G21" s="264" t="s">
        <v>831</v>
      </c>
      <c r="H21" s="19" t="s">
        <v>62</v>
      </c>
      <c r="I21" s="261" t="s">
        <v>63</v>
      </c>
    </row>
    <row r="22" ht="85.5">
      <c r="A22" s="512"/>
      <c r="B22" s="773"/>
      <c r="C22" s="147">
        <v>4</v>
      </c>
      <c r="D22" s="261" t="s">
        <v>94</v>
      </c>
      <c r="E22" s="544">
        <v>0</v>
      </c>
      <c r="F22" s="544" t="s">
        <v>161</v>
      </c>
      <c r="G22" s="401" t="s">
        <v>832</v>
      </c>
      <c r="H22" s="19" t="s">
        <v>62</v>
      </c>
      <c r="I22" s="265" t="s">
        <v>66</v>
      </c>
    </row>
    <row r="23" ht="71.25">
      <c r="A23" s="512"/>
      <c r="B23" s="773"/>
      <c r="C23" s="147">
        <v>5</v>
      </c>
      <c r="D23" s="261" t="s">
        <v>65</v>
      </c>
      <c r="E23" s="544">
        <v>0</v>
      </c>
      <c r="F23" s="544" t="s">
        <v>161</v>
      </c>
      <c r="G23" s="309" t="s">
        <v>833</v>
      </c>
      <c r="H23" s="19" t="s">
        <v>62</v>
      </c>
      <c r="I23" s="229" t="s">
        <v>66</v>
      </c>
    </row>
    <row r="24" ht="71.25">
      <c r="A24" s="512"/>
      <c r="B24" s="773"/>
      <c r="C24" s="147">
        <v>6</v>
      </c>
      <c r="D24" s="261" t="s">
        <v>79</v>
      </c>
      <c r="E24" s="544">
        <v>0</v>
      </c>
      <c r="F24" s="544" t="s">
        <v>161</v>
      </c>
      <c r="G24" s="774" t="s">
        <v>834</v>
      </c>
      <c r="H24" s="19" t="s">
        <v>62</v>
      </c>
      <c r="I24" s="243" t="s">
        <v>63</v>
      </c>
    </row>
    <row r="25" ht="99.75">
      <c r="A25" s="512"/>
      <c r="B25" s="773"/>
      <c r="C25" s="147">
        <v>7</v>
      </c>
      <c r="D25" s="347" t="s">
        <v>100</v>
      </c>
      <c r="E25" s="544">
        <v>0</v>
      </c>
      <c r="F25" s="544" t="s">
        <v>161</v>
      </c>
      <c r="G25" s="239" t="s">
        <v>835</v>
      </c>
      <c r="H25" s="19" t="s">
        <v>62</v>
      </c>
      <c r="I25" s="243" t="s">
        <v>63</v>
      </c>
    </row>
    <row r="26" ht="99.75">
      <c r="A26" s="512"/>
      <c r="B26" s="773"/>
      <c r="C26" s="147">
        <v>8</v>
      </c>
      <c r="D26" s="206" t="s">
        <v>90</v>
      </c>
      <c r="E26" s="544">
        <v>0</v>
      </c>
      <c r="F26" s="544" t="s">
        <v>161</v>
      </c>
      <c r="G26" s="239" t="s">
        <v>824</v>
      </c>
      <c r="H26" s="19" t="s">
        <v>62</v>
      </c>
      <c r="I26" s="243" t="s">
        <v>70</v>
      </c>
    </row>
    <row r="27" ht="120">
      <c r="A27" s="512"/>
      <c r="B27" s="773"/>
      <c r="C27" s="147">
        <v>9</v>
      </c>
      <c r="D27" s="206" t="s">
        <v>98</v>
      </c>
      <c r="E27" s="544">
        <v>0</v>
      </c>
      <c r="F27" s="544" t="s">
        <v>161</v>
      </c>
      <c r="G27" s="230" t="s">
        <v>810</v>
      </c>
      <c r="H27" s="19" t="s">
        <v>62</v>
      </c>
      <c r="I27" s="243" t="s">
        <v>70</v>
      </c>
      <c r="J27" s="429"/>
    </row>
    <row r="28" ht="42.75">
      <c r="A28" s="512"/>
      <c r="B28" s="773"/>
      <c r="C28" s="775">
        <v>10</v>
      </c>
      <c r="D28" s="776" t="s">
        <v>82</v>
      </c>
      <c r="E28" s="544">
        <v>0</v>
      </c>
      <c r="F28" s="544" t="s">
        <v>161</v>
      </c>
      <c r="G28" s="776" t="s">
        <v>836</v>
      </c>
      <c r="H28" s="19" t="s">
        <v>62</v>
      </c>
      <c r="I28" s="243" t="s">
        <v>66</v>
      </c>
    </row>
    <row r="29" ht="85.5">
      <c r="A29" s="512"/>
      <c r="B29" s="773"/>
      <c r="C29" s="775">
        <v>11</v>
      </c>
      <c r="D29" s="776" t="s">
        <v>69</v>
      </c>
      <c r="E29" s="544">
        <v>0</v>
      </c>
      <c r="F29" s="544" t="s">
        <v>161</v>
      </c>
      <c r="G29" s="260" t="s">
        <v>183</v>
      </c>
      <c r="H29" s="19" t="s">
        <v>62</v>
      </c>
      <c r="I29" s="243" t="s">
        <v>70</v>
      </c>
    </row>
    <row r="30" ht="42.75">
      <c r="A30" s="512"/>
      <c r="B30" s="773"/>
      <c r="C30" s="775">
        <v>12</v>
      </c>
      <c r="D30" s="776" t="s">
        <v>61</v>
      </c>
      <c r="E30" s="544">
        <v>0</v>
      </c>
      <c r="F30" s="544" t="s">
        <v>161</v>
      </c>
      <c r="G30" s="776" t="s">
        <v>837</v>
      </c>
      <c r="H30" s="19" t="s">
        <v>62</v>
      </c>
      <c r="I30" s="243" t="s">
        <v>70</v>
      </c>
    </row>
    <row r="31" ht="71.25">
      <c r="A31" s="512"/>
      <c r="B31" s="773"/>
      <c r="C31" s="775">
        <v>13</v>
      </c>
      <c r="D31" s="776" t="s">
        <v>67</v>
      </c>
      <c r="E31" s="544">
        <v>0</v>
      </c>
      <c r="F31" s="544" t="s">
        <v>161</v>
      </c>
      <c r="G31" s="776" t="s">
        <v>838</v>
      </c>
      <c r="H31" s="19" t="s">
        <v>62</v>
      </c>
      <c r="I31" s="777" t="s">
        <v>66</v>
      </c>
    </row>
    <row r="32" ht="57">
      <c r="A32" s="512"/>
      <c r="B32" s="773"/>
      <c r="C32" s="775">
        <v>14</v>
      </c>
      <c r="D32" s="776" t="s">
        <v>85</v>
      </c>
      <c r="E32" s="544">
        <v>0</v>
      </c>
      <c r="F32" s="544" t="s">
        <v>161</v>
      </c>
      <c r="G32" s="776" t="s">
        <v>839</v>
      </c>
      <c r="H32" s="19" t="s">
        <v>62</v>
      </c>
      <c r="I32" s="776" t="s">
        <v>70</v>
      </c>
    </row>
    <row r="33" ht="57">
      <c r="A33" s="512"/>
      <c r="B33" s="773"/>
      <c r="C33" s="775">
        <v>15</v>
      </c>
      <c r="D33" s="776" t="s">
        <v>185</v>
      </c>
      <c r="E33" s="544">
        <v>0</v>
      </c>
      <c r="F33" s="544" t="s">
        <v>161</v>
      </c>
      <c r="G33" s="776" t="s">
        <v>839</v>
      </c>
      <c r="H33" s="19" t="s">
        <v>62</v>
      </c>
      <c r="I33" s="777" t="s">
        <v>63</v>
      </c>
    </row>
    <row r="34" ht="42.75">
      <c r="A34" s="512"/>
      <c r="B34" s="773"/>
      <c r="C34" s="775">
        <v>16</v>
      </c>
      <c r="D34" s="776" t="s">
        <v>72</v>
      </c>
      <c r="E34" s="392">
        <v>1</v>
      </c>
      <c r="F34" s="392" t="s">
        <v>30</v>
      </c>
      <c r="G34" s="205" t="s">
        <v>341</v>
      </c>
      <c r="H34" s="19" t="s">
        <v>62</v>
      </c>
      <c r="I34" s="209" t="s">
        <v>66</v>
      </c>
    </row>
    <row r="35" ht="71.25">
      <c r="A35" s="512"/>
      <c r="B35" s="773"/>
      <c r="C35" s="775">
        <v>17</v>
      </c>
      <c r="D35" s="776" t="s">
        <v>88</v>
      </c>
      <c r="E35" s="544">
        <v>0</v>
      </c>
      <c r="F35" s="544" t="s">
        <v>161</v>
      </c>
      <c r="G35" s="776" t="s">
        <v>838</v>
      </c>
      <c r="H35" s="19" t="s">
        <v>62</v>
      </c>
      <c r="I35" s="209" t="s">
        <v>66</v>
      </c>
    </row>
    <row r="36" ht="57">
      <c r="A36" s="512"/>
      <c r="B36" s="773"/>
      <c r="C36" s="777">
        <v>18</v>
      </c>
      <c r="D36" s="776" t="s">
        <v>93</v>
      </c>
      <c r="E36" s="544">
        <v>0</v>
      </c>
      <c r="F36" s="544" t="s">
        <v>161</v>
      </c>
      <c r="G36" s="260" t="s">
        <v>824</v>
      </c>
      <c r="H36" s="19" t="s">
        <v>62</v>
      </c>
      <c r="I36" s="777" t="s">
        <v>66</v>
      </c>
    </row>
    <row r="37" ht="85.5">
      <c r="A37" s="512"/>
      <c r="B37" s="773"/>
      <c r="C37" s="777">
        <v>19</v>
      </c>
      <c r="D37" s="776" t="s">
        <v>80</v>
      </c>
      <c r="E37" s="544">
        <v>0</v>
      </c>
      <c r="F37" s="544" t="s">
        <v>161</v>
      </c>
      <c r="G37" s="776" t="s">
        <v>817</v>
      </c>
      <c r="H37" s="19" t="s">
        <v>62</v>
      </c>
      <c r="I37" s="777" t="s">
        <v>70</v>
      </c>
    </row>
    <row r="38" ht="42.75">
      <c r="A38" s="512"/>
      <c r="B38" s="773"/>
      <c r="C38" s="777">
        <v>20</v>
      </c>
      <c r="D38" s="776" t="s">
        <v>91</v>
      </c>
      <c r="E38" s="544">
        <v>0</v>
      </c>
      <c r="F38" s="544" t="s">
        <v>161</v>
      </c>
      <c r="G38" s="776" t="s">
        <v>840</v>
      </c>
      <c r="H38" s="19" t="s">
        <v>62</v>
      </c>
      <c r="I38" s="777" t="s">
        <v>70</v>
      </c>
    </row>
    <row r="39" ht="30">
      <c r="A39" s="512"/>
      <c r="B39" s="773"/>
      <c r="C39" s="777">
        <v>21</v>
      </c>
      <c r="D39" s="776" t="s">
        <v>92</v>
      </c>
      <c r="E39" s="544">
        <v>0</v>
      </c>
      <c r="F39" s="544" t="s">
        <v>161</v>
      </c>
      <c r="G39" s="776" t="s">
        <v>819</v>
      </c>
      <c r="H39" s="19" t="s">
        <v>62</v>
      </c>
      <c r="I39" s="209" t="s">
        <v>63</v>
      </c>
    </row>
    <row r="40" ht="57">
      <c r="A40" s="512"/>
      <c r="B40" s="773"/>
      <c r="C40" s="777">
        <v>22</v>
      </c>
      <c r="D40" s="776" t="s">
        <v>74</v>
      </c>
      <c r="E40" s="544">
        <v>0</v>
      </c>
      <c r="F40" s="544" t="s">
        <v>161</v>
      </c>
      <c r="G40" s="776" t="s">
        <v>824</v>
      </c>
      <c r="H40" s="19" t="s">
        <v>62</v>
      </c>
      <c r="I40" s="777" t="s">
        <v>63</v>
      </c>
    </row>
    <row r="41" ht="57">
      <c r="A41" s="512"/>
      <c r="B41" s="773"/>
      <c r="C41" s="777">
        <v>23</v>
      </c>
      <c r="D41" s="776" t="s">
        <v>84</v>
      </c>
      <c r="E41" s="544">
        <v>0</v>
      </c>
      <c r="F41" s="544" t="s">
        <v>161</v>
      </c>
      <c r="G41" s="776" t="s">
        <v>841</v>
      </c>
      <c r="H41" s="19" t="s">
        <v>62</v>
      </c>
      <c r="I41" s="777" t="s">
        <v>70</v>
      </c>
    </row>
    <row r="42" ht="142.5">
      <c r="A42" s="512"/>
      <c r="B42" s="773"/>
      <c r="C42" s="777">
        <v>24</v>
      </c>
      <c r="D42" s="776" t="s">
        <v>77</v>
      </c>
      <c r="E42" s="544">
        <v>0</v>
      </c>
      <c r="F42" s="544" t="s">
        <v>161</v>
      </c>
      <c r="G42" s="260" t="s">
        <v>836</v>
      </c>
      <c r="H42" s="19" t="s">
        <v>62</v>
      </c>
      <c r="I42" s="68" t="s">
        <v>70</v>
      </c>
    </row>
    <row r="43" ht="30">
      <c r="A43" s="512"/>
      <c r="B43" s="773"/>
      <c r="C43" s="777">
        <v>25</v>
      </c>
      <c r="D43" s="776" t="s">
        <v>76</v>
      </c>
      <c r="E43" s="544">
        <v>0</v>
      </c>
      <c r="F43" s="544" t="s">
        <v>161</v>
      </c>
      <c r="G43" s="776" t="s">
        <v>349</v>
      </c>
      <c r="H43" s="19" t="s">
        <v>62</v>
      </c>
      <c r="I43" s="777" t="s">
        <v>70</v>
      </c>
    </row>
    <row r="44" ht="71.25">
      <c r="A44" s="523"/>
      <c r="B44" s="778"/>
      <c r="C44" s="777">
        <v>26</v>
      </c>
      <c r="D44" s="776" t="s">
        <v>96</v>
      </c>
      <c r="E44" s="544">
        <v>0</v>
      </c>
      <c r="F44" s="544" t="s">
        <v>161</v>
      </c>
      <c r="G44" s="776" t="s">
        <v>820</v>
      </c>
      <c r="H44" s="19" t="s">
        <v>62</v>
      </c>
      <c r="I44" s="209" t="s">
        <v>66</v>
      </c>
    </row>
    <row r="45" ht="14.25">
      <c r="A45" s="429"/>
      <c r="B45" s="429"/>
      <c r="C45" s="429"/>
      <c r="D45" s="594"/>
      <c r="E45" s="779">
        <f>(E19+E20+E21+E22+E23+E24+E25+E26+E27+E28+E29+E30+E31+E32+E33+E34+E35+E36+E37+E38+E39+E40+E41+E42+E43+E44)/26</f>
        <v>0.11538461538461539</v>
      </c>
      <c r="F45" s="429"/>
      <c r="G45" s="429"/>
      <c r="H45" s="429"/>
      <c r="I45" s="429"/>
    </row>
    <row r="46" ht="14.25">
      <c r="A46" s="429"/>
      <c r="B46" s="429"/>
      <c r="C46" s="429"/>
      <c r="D46" s="594"/>
      <c r="E46" s="429"/>
      <c r="F46" s="429"/>
      <c r="G46" s="429"/>
      <c r="H46" s="429"/>
      <c r="I46" s="429"/>
    </row>
    <row r="47" ht="53.25" customHeight="1">
      <c r="A47" s="176" t="s">
        <v>799</v>
      </c>
      <c r="B47" s="168" t="s">
        <v>827</v>
      </c>
      <c r="C47" s="169"/>
      <c r="D47" s="170"/>
      <c r="E47" s="593">
        <v>0.12</v>
      </c>
      <c r="F47" s="771" t="s">
        <v>58</v>
      </c>
      <c r="G47" s="78" t="s">
        <v>828</v>
      </c>
      <c r="H47" s="79"/>
      <c r="I47" s="80"/>
      <c r="J47" s="12"/>
    </row>
    <row r="48" ht="14.25">
      <c r="A48" s="429"/>
      <c r="B48" s="429"/>
      <c r="C48" s="429"/>
      <c r="D48" s="429"/>
      <c r="E48" s="429"/>
      <c r="F48" s="429"/>
      <c r="G48" s="429"/>
      <c r="H48" s="429"/>
      <c r="I48" s="429"/>
    </row>
  </sheetData>
  <mergeCells count="10">
    <mergeCell ref="E2:F2"/>
    <mergeCell ref="A3:A11"/>
    <mergeCell ref="B3:B11"/>
    <mergeCell ref="B15:D15"/>
    <mergeCell ref="G15:I15"/>
    <mergeCell ref="E18:F18"/>
    <mergeCell ref="A19:A44"/>
    <mergeCell ref="B19:B44"/>
    <mergeCell ref="B47:D47"/>
    <mergeCell ref="G47:I47"/>
  </mergeCells>
  <dataValidations count="36" disablePrompts="0">
    <dataValidation sqref="F4" type="list" allowBlank="1" errorStyle="stop" imeMode="noControl" operator="between" showDropDown="0" showErrorMessage="1" showInputMessage="1">
      <formula1>'Легенда '!$B$7:$B$12</formula1>
    </dataValidation>
    <dataValidation sqref="F4" type="list" allowBlank="1" errorStyle="stop" imeMode="noControl" operator="between" showDropDown="0" showErrorMessage="1" showInputMessage="1">
      <formula1>'Легенда '!$B$7:$B$12</formula1>
    </dataValidation>
    <dataValidation sqref="F4" type="list" allowBlank="1" errorStyle="stop" imeMode="noControl" operator="between" showDropDown="0" showErrorMessage="1" showInputMessage="1">
      <formula1>'Легенда '!$B$7:$B$12</formula1>
    </dataValidation>
    <dataValidation sqref="F4" type="list" allowBlank="1" errorStyle="stop" imeMode="noControl" operator="between" showDropDown="0" showErrorMessage="1" showInputMessage="1">
      <formula1>'Легенда '!$B$7:$B$12</formula1>
    </dataValidation>
    <dataValidation sqref="F4" type="list" allowBlank="1" errorStyle="stop" imeMode="noControl" operator="between" showDropDown="0" showErrorMessage="1" showInputMessage="1">
      <formula1>'Легенда '!$B$7:$B$12</formula1>
    </dataValidation>
    <dataValidation sqref="F4" type="list" allowBlank="1" errorStyle="stop" imeMode="noControl" operator="between" showDropDown="0" showErrorMessage="1" showInputMessage="1">
      <formula1>'Легенда '!$B$7:$B$12</formula1>
    </dataValidation>
    <dataValidation sqref="F5" type="list" allowBlank="1" errorStyle="stop" imeMode="noControl" operator="between" showDropDown="0" showErrorMessage="1" showInputMessage="1">
      <formula1>'Легенда '!$B$7:$B$12</formula1>
    </dataValidation>
    <dataValidation sqref="F5" type="list" allowBlank="1" errorStyle="stop" imeMode="noControl" operator="between" showDropDown="0" showErrorMessage="1" showInputMessage="1">
      <formula1>'Легенда '!$B$7:$B$12</formula1>
    </dataValidation>
    <dataValidation sqref="F5" type="list" allowBlank="1" errorStyle="stop" imeMode="noControl" operator="between" showDropDown="0" showErrorMessage="1" showInputMessage="1">
      <formula1>'Легенда '!$B$7:$B$12</formula1>
    </dataValidation>
    <dataValidation sqref="F5" type="list" allowBlank="1" errorStyle="stop" imeMode="noControl" operator="between" showDropDown="0" showErrorMessage="1" showInputMessage="1">
      <formula1>'Легенда '!$B$7:$B$12</formula1>
    </dataValidation>
    <dataValidation sqref="F5" type="list" allowBlank="1" errorStyle="stop" imeMode="noControl" operator="between" showDropDown="0" showErrorMessage="1" showInputMessage="1">
      <formula1>'Легенда '!$B$7:$B$12</formula1>
    </dataValidation>
    <dataValidation sqref="F5" type="list" allowBlank="1" errorStyle="stop" imeMode="noControl" operator="between" showDropDown="0" showErrorMessage="1" showInputMessage="1">
      <formula1>'Легенда '!$B$7:$B$12</formula1>
    </dataValidation>
    <dataValidation sqref="F6" type="list" allowBlank="1" errorStyle="stop" imeMode="noControl" operator="between" showDropDown="0" showErrorMessage="1" showInputMessage="1">
      <formula1>'Легенда '!$B$7:$B$12</formula1>
    </dataValidation>
    <dataValidation sqref="F6" type="list" allowBlank="1" errorStyle="stop" imeMode="noControl" operator="between" showDropDown="0" showErrorMessage="1" showInputMessage="1">
      <formula1>'Легенда '!$B$7:$B$12</formula1>
    </dataValidation>
    <dataValidation sqref="F6" type="list" allowBlank="1" errorStyle="stop" imeMode="noControl" operator="between" showDropDown="0" showErrorMessage="1" showInputMessage="1">
      <formula1>'Легенда '!$B$7:$B$12</formula1>
    </dataValidation>
    <dataValidation sqref="F6" type="list" allowBlank="1" errorStyle="stop" imeMode="noControl" operator="between" showDropDown="0" showErrorMessage="1" showInputMessage="1">
      <formula1>'Легенда '!$B$7:$B$12</formula1>
    </dataValidation>
    <dataValidation sqref="F6" type="list" allowBlank="1" errorStyle="stop" imeMode="noControl" operator="between" showDropDown="0" showErrorMessage="1" showInputMessage="1">
      <formula1>'Легенда '!$B$7:$B$12</formula1>
    </dataValidation>
    <dataValidation sqref="F6" type="list" allowBlank="1" errorStyle="stop" imeMode="noControl" operator="between" showDropDown="0" showErrorMessage="1" showInputMessage="1">
      <formula1>'Легенда '!$B$7:$B$12</formula1>
    </dataValidation>
    <dataValidation sqref="F7" type="list" allowBlank="1" errorStyle="stop" imeMode="noControl" operator="between" showDropDown="0" showErrorMessage="1" showInputMessage="1">
      <formula1>'Легенда '!$B$7:$B$12</formula1>
    </dataValidation>
    <dataValidation sqref="F7" type="list" allowBlank="1" errorStyle="stop" imeMode="noControl" operator="between" showDropDown="0" showErrorMessage="1" showInputMessage="1">
      <formula1>'Легенда '!$B$7:$B$12</formula1>
    </dataValidation>
    <dataValidation sqref="F7" type="list" allowBlank="1" errorStyle="stop" imeMode="noControl" operator="between" showDropDown="0" showErrorMessage="1" showInputMessage="1">
      <formula1>'Легенда '!$B$7:$B$12</formula1>
    </dataValidation>
    <dataValidation sqref="F7" type="list" allowBlank="1" errorStyle="stop" imeMode="noControl" operator="between" showDropDown="0" showErrorMessage="1" showInputMessage="1">
      <formula1>'Легенда '!$B$7:$B$12</formula1>
    </dataValidation>
    <dataValidation sqref="F7" type="list" allowBlank="1" errorStyle="stop" imeMode="noControl" operator="between" showDropDown="0" showErrorMessage="1" showInputMessage="1">
      <formula1>'Легенда '!$B$7:$B$12</formula1>
    </dataValidation>
    <dataValidation sqref="F7" type="list" allowBlank="1" errorStyle="stop" imeMode="noControl" operator="between" showDropDown="0" showErrorMessage="1" showInputMessage="1">
      <formula1>'Легенда '!$B$7:$B$12</formula1>
    </dataValidation>
    <dataValidation sqref="F8" type="list" allowBlank="1" errorStyle="stop" imeMode="noControl" operator="between" showDropDown="0" showErrorMessage="1" showInputMessage="1">
      <formula1>'Легенда '!$B$7:$B$12</formula1>
    </dataValidation>
    <dataValidation sqref="F8" type="list" allowBlank="1" errorStyle="stop" imeMode="noControl" operator="between" showDropDown="0" showErrorMessage="1" showInputMessage="1">
      <formula1>'Легенда '!$B$7:$B$12</formula1>
    </dataValidation>
    <dataValidation sqref="F8" type="list" allowBlank="1" errorStyle="stop" imeMode="noControl" operator="between" showDropDown="0" showErrorMessage="1" showInputMessage="1">
      <formula1>'Легенда '!$B$7:$B$12</formula1>
    </dataValidation>
    <dataValidation sqref="F8" type="list" allowBlank="1" errorStyle="stop" imeMode="noControl" operator="between" showDropDown="0" showErrorMessage="1" showInputMessage="1">
      <formula1>'Легенда '!$B$7:$B$12</formula1>
    </dataValidation>
    <dataValidation sqref="F8" type="list" allowBlank="1" errorStyle="stop" imeMode="noControl" operator="between" showDropDown="0" showErrorMessage="1" showInputMessage="1">
      <formula1>'Легенда '!$B$7:$B$12</formula1>
    </dataValidation>
    <dataValidation sqref="F8" type="list" allowBlank="1" errorStyle="stop" imeMode="noControl" operator="between" showDropDown="0" showErrorMessage="1" showInputMessage="1">
      <formula1>'Легенда '!$B$7:$B$12</formula1>
    </dataValidation>
    <dataValidation sqref="F11" type="list" allowBlank="1" errorStyle="stop" imeMode="noControl" operator="between" showDropDown="0" showErrorMessage="1" showInputMessage="1">
      <formula1>'Легенда '!$B$7:$B$12</formula1>
    </dataValidation>
    <dataValidation sqref="F11" type="list" allowBlank="1" errorStyle="stop" imeMode="noControl" operator="between" showDropDown="0" showErrorMessage="1" showInputMessage="1">
      <formula1>'Легенда '!$B$7:$B$12</formula1>
    </dataValidation>
    <dataValidation sqref="F11" type="list" allowBlank="1" errorStyle="stop" imeMode="noControl" operator="between" showDropDown="0" showErrorMessage="1" showInputMessage="1">
      <formula1>'Легенда '!$B$7:$B$12</formula1>
    </dataValidation>
    <dataValidation sqref="F11" type="list" allowBlank="1" errorStyle="stop" imeMode="noControl" operator="between" showDropDown="0" showErrorMessage="1" showInputMessage="1">
      <formula1>'Легенда '!$B$7:$B$12</formula1>
    </dataValidation>
    <dataValidation sqref="F11" type="list" allowBlank="1" errorStyle="stop" imeMode="noControl" operator="between" showDropDown="0" showErrorMessage="1" showInputMessage="1">
      <formula1>'Легенда '!$B$7:$B$12</formula1>
    </dataValidation>
    <dataValidation sqref="F11" type="list" allowBlank="1" errorStyle="stop" imeMode="noControl" operator="between" showDropDown="0" showErrorMessage="1" showInputMessage="1">
      <formula1>'Легенда '!$B$7:$B$12</formula1>
    </dataValidation>
  </dataValidation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6" text="Высокий уровень" id="{00EE00E9-00C8-44EE-AA71-00D300C30036}">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170057-00F6-44E2-A52A-00EB00EE0042}">
            <xm:f>NOT(ISERROR(SEARCH("Высокий уровень",D9)))</xm:f>
            <x14:dxf>
              <fill>
                <patternFill patternType="solid">
                  <fgColor rgb="FF70AD47"/>
                  <bgColor rgb="FF70AD47"/>
                </patternFill>
              </fill>
            </x14:dxf>
          </x14:cfRule>
          <xm:sqref>F14</xm:sqref>
        </x14:conditionalFormatting>
        <x14:conditionalFormatting xmlns:xm="http://schemas.microsoft.com/office/excel/2006/main">
          <x14:cfRule type="containsText" priority="6" text="Высокий уровень" id="{009900E5-00A3-443F-92DD-003E000D0020}">
            <xm:f>NOT(ISERROR(SEARCH("Высокий уровень",D9)))</xm:f>
            <x14:dxf>
              <fill>
                <patternFill patternType="solid">
                  <fgColor rgb="FF70AD47"/>
                  <bgColor rgb="FF70AD47"/>
                </patternFill>
              </fill>
            </x14:dxf>
          </x14:cfRule>
          <xm:sqref>F16</xm:sqref>
        </x14:conditionalFormatting>
        <x14:conditionalFormatting xmlns:xm="http://schemas.microsoft.com/office/excel/2006/main">
          <x14:cfRule type="containsText" priority="6" text="Высокий уровень" id="{00840066-00F6-474E-86C0-008900EE0020}">
            <xm:f>NOT(ISERROR(SEARCH("Высокий уровень",D9)))</xm:f>
            <x14:dxf>
              <fill>
                <patternFill patternType="solid">
                  <fgColor rgb="FF70AD47"/>
                  <bgColor rgb="FF70AD47"/>
                </patternFill>
              </fill>
            </x14:dxf>
          </x14:cfRule>
          <xm:sqref>F16</xm:sqref>
        </x14:conditionalFormatting>
        <x14:conditionalFormatting xmlns:xm="http://schemas.microsoft.com/office/excel/2006/main">
          <x14:cfRule type="containsText" priority="6" text="Высокий уровень" id="{00440096-0018-4102-A337-002F003A00B9}">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970000-005E-4077-84A3-000700810006}">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010044-00DF-4EE1-9546-00F9003E006B}">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7D00A0-002E-44C3-96CB-00C700CD00CD}">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EF00AF-00BB-4AE8-A908-002500D00068}">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7F004B-00D8-4F14-9F8B-00D800B6003C}">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F100F8-006E-4D23-98E0-002A00440016}">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56007B-00AD-43EE-9B4A-000D00C0003B}">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970055-006F-475B-ADDD-00C000A0007D}">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1B00B9-0096-4A05-94B0-004B002D0025}">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8C00EF-000A-4C51-BE7B-001200E300DA}">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27000E-0006-4CA9-9DFE-008A00FC00CA}">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640099-00E2-443E-97FC-008D00CF00A6}">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55002F-0056-407A-8A11-009D00E4000F}">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160016-0042-434B-AFEE-005300410039}">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4D000E-00DD-44A7-9231-00CE00A1003E}">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8C004E-00E9-487D-9272-004F009B00AC}">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7C009D-00CF-4842-AF43-00A000EC00CD}">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700072-001D-4D32-B5E9-000600F00010}">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C900B2-0066-461D-9433-0057004000BE}">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B8000B-0002-45EB-9EA1-00B400020001}">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8C00AD-009D-4D7B-AC8C-000000AC00EE}">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8E002F-005A-48D0-B7A4-00E800B3008D}">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EE0081-00A6-40ED-86C4-00F30087009A}">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26004B-0079-4F38-A75B-006D003500A8}">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77002C-0004-40E9-B6B1-0057004C0025}">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090017-0066-4A6E-9BAA-0036001400B8}">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5800C8-0042-45B0-BEE1-00C1000A00ED}">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D400D6-0037-4CAF-9D72-00EB00360078}">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EA00E3-00A1-4F32-A44F-0074002E0083}">
            <xm:f>NOT(ISERROR(SEARCH("Высокий уровень",D9)))</xm:f>
            <x14:dxf>
              <fill>
                <patternFill patternType="solid">
                  <fgColor rgb="FF70AD47"/>
                  <bgColor rgb="FF70AD47"/>
                </patternFill>
              </fill>
            </x14:dxf>
          </x14:cfRule>
          <xm:sqref>F4</xm:sqref>
        </x14:conditionalFormatting>
        <x14:conditionalFormatting xmlns:xm="http://schemas.microsoft.com/office/excel/2006/main">
          <x14:cfRule type="containsText" priority="6" text="Высокий уровень" id="{006D002D-008A-4480-886B-0073001A00B5}">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A8009D-000F-4030-BF68-004700EE0094}">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4300C8-002F-47C0-AC1C-005800890045}">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93007A-0093-4BDE-AE57-00AF003D005D}">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0B009A-00E4-4877-B9DF-00B700ED00AD}">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3600AB-00EE-46F0-BF05-005000E100D2}">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90007A-00F3-4033-AE77-002A00040077}">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6900A1-0099-45BC-BD08-001F00290030}">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100009-0030-4E3D-BFE6-009600590086}">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BE0038-00BE-4E47-95DD-001300590011}">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850085-006F-4E55-B245-00F5006200C2}">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C500BF-0035-4F3E-85CC-009300A50099}">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9700DB-00CB-4E86-9F26-00C20055008E}">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6F002B-00D1-4CAD-A049-009900EE0025}">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29000F-00EA-4890-B6FF-006500200034}">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650093-003D-4DD7-964E-007E00A2008F}">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4600B0-000C-4621-B10B-003100550093}">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4F0017-00DD-4D1B-9E01-00B2004A00FB}">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F600B7-00E8-4867-9AB9-00D9007C00FE}">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0600C7-0057-4773-9D88-00C40035008A}">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000014-00CF-4805-81F0-001F00F800AD}">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A20084-00BF-40A4-B8C8-00A800C60019}">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D00099-00E7-4D45-93D9-0030005D003C}">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620095-00F9-4FB5-81F3-0032005E001C}">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9D00F7-0044-4F84-9548-003000B400F2}">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9A0051-0057-4F5E-B54C-00D2009F000B}">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8400CA-00D7-4868-8574-003D008100B4}">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E7004D-00A9-44F5-BE3E-001400FC0035}">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CD007F-00D5-4BC2-9C5F-00DE007D005E}">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5D006D-00CD-47A9-85DD-007C00520074}">
            <xm:f>NOT(ISERROR(SEARCH("Высокий уровень",D9)))</xm:f>
            <x14:dxf>
              <fill>
                <patternFill patternType="solid">
                  <fgColor rgb="FF70AD47"/>
                  <bgColor rgb="FF70AD47"/>
                </patternFill>
              </fill>
            </x14:dxf>
          </x14:cfRule>
          <xm:sqref>F5</xm:sqref>
        </x14:conditionalFormatting>
        <x14:conditionalFormatting xmlns:xm="http://schemas.microsoft.com/office/excel/2006/main">
          <x14:cfRule type="containsText" priority="6" text="Высокий уровень" id="{00B7003A-0021-4D82-A2B6-005700AB004E}">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5600FA-00EE-48F8-AF41-00A1004E001D}">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2300FB-00B7-44AE-BD54-003800D9006C}">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920010-0063-4544-BED8-00F600770009}">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A60047-0082-4389-80E3-00480067000E}">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43001F-00B4-4ED7-9058-00B900E900D1}">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18005E-006C-410E-80AE-00710057008D}">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C600B9-00DA-4DB8-95CB-00CA005400E3}">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550071-009E-4484-B6C3-005700010042}">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6C00A2-003D-4CDF-8020-001E002B0087}">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6400BA-0006-4080-8DF2-00A700140094}">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A100D9-0045-4D5F-A7BB-008B0085005A}">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56001F-00DE-4DCE-A98A-006C00300046}">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0E0054-0057-4A7A-8C57-00B5003D0009}">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5C0050-006B-4601-9DAC-00B100FB006B}">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6700F1-0047-4D20-8C4D-006E00DB00F0}">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45009C-0051-443C-B871-0031005E0077}">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140017-0081-4CA8-8ED5-002D0051008E}">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2400DA-0050-4C34-BD9D-000000C8007C}">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0700B3-0066-4590-88F8-00740048002B}">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C40045-00E9-4D35-B043-004D00E400C4}">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6F00F7-00E4-48F3-B14B-00CD0072003A}">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720005-00C7-4247-B21F-00ED00F700AD}">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A400A7-0071-44E0-A9F3-00BE007A0010}">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19004F-00E9-47DE-8844-00A400F50056}">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AE00BD-00F3-4201-8653-00FC001C005B}">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8200A3-0094-4572-8087-008F00AB00EA}">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290092-00CA-46D3-9DCD-00220062000E}">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7A00B6-0004-411F-8BC9-00B5003600BF}">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8F00D0-0086-46A5-A966-00C800B20021}">
            <xm:f>NOT(ISERROR(SEARCH("Высокий уровень",D9)))</xm:f>
            <x14:dxf>
              <fill>
                <patternFill patternType="solid">
                  <fgColor rgb="FF70AD47"/>
                  <bgColor rgb="FF70AD47"/>
                </patternFill>
              </fill>
            </x14:dxf>
          </x14:cfRule>
          <xm:sqref>F6</xm:sqref>
        </x14:conditionalFormatting>
        <x14:conditionalFormatting xmlns:xm="http://schemas.microsoft.com/office/excel/2006/main">
          <x14:cfRule type="containsText" priority="6" text="Высокий уровень" id="{00020026-0064-45F3-8945-00C0005F0031}">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D100C3-0083-4012-9025-00F0004800C6}">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9D0053-0025-437C-AF6E-006F007800B9}">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D3000D-008F-4DA2-9962-00BF001C00D8}">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F700E4-009C-4731-AB14-007600CD00EE}">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1100C9-0054-4957-832B-009100D400E5}">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3500E6-003D-405D-BA4D-00EA003800CC}">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2300CE-00C0-4E35-9273-00B300A50059}">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C600B6-00E9-48E1-A9F4-00050045008D}">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670026-0087-439B-8DEE-00BE004700BE}">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A70052-0096-434E-BF14-00B0001000BF}">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520094-0071-4DC5-8ADF-00A30005003B}">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41005E-00C8-4F83-8526-0011009900B6}">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620012-007D-4CA3-B311-0056001C000F}">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940083-00D1-4858-8734-007F00C2008D}">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4E00ED-0098-4A97-9B32-0004002600D6}">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D600F6-0044-4EC7-B590-00E600FF0032}">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570067-0094-4AC9-87DF-0081004C0061}">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8D0043-00B5-4CB7-ACDE-003200E60056}">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1200C1-0015-4DE0-8BC3-0028004700DB}">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4C00B2-00BD-4AEB-93CF-00C700A70014}">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1E002A-00B8-45C7-98AC-005100330009}">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ED00E2-0010-4D12-83B6-00CD005C009E}">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340049-0021-461F-AFA6-0060000A0057}">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D70000-00C1-41CD-B677-000F001000C8}">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A700DA-00D4-4C09-90FA-00AA005100F5}">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0F0030-00DE-45B7-B44B-00FC00A70030}">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7A003C-0090-46B2-A3B1-0046009000E8}">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020045-002F-4D0D-B9C9-002E004B00A0}">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F30031-0099-4BC3-95AB-00BE00EF0080}">
            <xm:f>NOT(ISERROR(SEARCH("Высокий уровень",D9)))</xm:f>
            <x14:dxf>
              <fill>
                <patternFill patternType="solid">
                  <fgColor rgb="FF70AD47"/>
                  <bgColor rgb="FF70AD47"/>
                </patternFill>
              </fill>
            </x14:dxf>
          </x14:cfRule>
          <xm:sqref>F7</xm:sqref>
        </x14:conditionalFormatting>
        <x14:conditionalFormatting xmlns:xm="http://schemas.microsoft.com/office/excel/2006/main">
          <x14:cfRule type="containsText" priority="6" text="Высокий уровень" id="{00F50007-0066-420C-B5CD-0036002E0040}">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7E0023-0039-41DD-81C6-00FD004D00F6}">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010093-0031-4080-8E07-00EC00510084}">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2B00D6-00BC-4DEB-83C4-008B00520020}">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6900EC-002A-4272-BF1C-0023000C00EA}">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A600D3-0034-4E22-826B-001100E90078}">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100007-00CB-42F0-A95B-003800BF0086}">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390034-00CA-4B4F-8D18-00F30092001D}">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FA00B2-001C-4682-A54A-0030005700D6}">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7E00CE-0023-49F8-BC51-004F00C30005}">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EF00E3-008C-49D1-AD0B-0084000600E2}">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7700A7-002B-47A1-BC61-00F700D7001E}">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F900FF-0072-45F4-983D-00C000D70083}">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5400AC-00EF-4F71-A607-0021004E0036}">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DB00B5-000A-4ABC-8C83-0027003000F5}">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5B00FA-00EF-4AD8-9453-004800AD00E1}">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6300B4-005F-412D-AAA8-006000BA00C7}">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B90073-003D-40C4-A6DE-009100D500AE}">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860005-0035-42A5-B2C6-0080009A006D}">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040016-0003-493D-8304-0009004D00E2}">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84004D-0073-4ED6-909D-00BF007700BD}">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8900C7-0017-4C1B-B874-00A400DE0049}">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5F00DD-00B8-4C7C-813F-00B3004700B2}">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A70046-0030-42E9-96D2-001A00E60005}">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C20002-00DF-4C79-873E-0091000500A7}">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700062-0096-44BE-B3CF-00CF00A600BD}">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D200B9-00A4-4ACD-967B-00C7001500DD}">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AB001B-005B-4D03-8BCA-001500D3008B}">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49009C-002B-458C-85F5-002900AD0061}">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DF0000-0084-4802-BCC0-0022006B00D2}">
            <xm:f>NOT(ISERROR(SEARCH("Высокий уровень",D9)))</xm:f>
            <x14:dxf>
              <fill>
                <patternFill patternType="solid">
                  <fgColor rgb="FF70AD47"/>
                  <bgColor rgb="FF70AD47"/>
                </patternFill>
              </fill>
            </x14:dxf>
          </x14:cfRule>
          <xm:sqref>F8</xm:sqref>
        </x14:conditionalFormatting>
        <x14:conditionalFormatting xmlns:xm="http://schemas.microsoft.com/office/excel/2006/main">
          <x14:cfRule type="containsText" priority="6" text="Высокий уровень" id="{00F60039-00F2-496B-9218-003900C70099}">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0A0074-0086-4AA9-BC5B-006B004E00C5}">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9A0009-0080-4DC8-8153-00E4009D0033}">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4900CD-002A-4AB0-868B-002A002B00EC}">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BF0053-00E9-47F9-881B-00B0000700F1}">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7800EB-00FC-4145-B76C-008800BE0037}">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3C00FC-0041-4650-BC7B-003800CF0099}">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420066-00F7-4651-B6A2-002A0026006C}">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3600B7-00F3-4FFF-B58E-009F001600FE}">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D4006F-0001-443B-83DC-0016003F00B1}">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54005D-0031-4DE8-B394-003500A700D1}">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7D00EB-00D7-497E-8ADE-007100870058}">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2F0022-002C-447E-AC4D-0075008B00ED}">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0B007A-0095-4A3A-BB8F-00260038006B}">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390078-0089-4BE1-BDEA-002C00AF003C}">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AD000B-00CD-4FC0-ADF3-00E200E90010}">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170006-00BB-45AC-9CDD-009900800058}">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FD0039-0037-4EC1-BCE7-00BD002C00F4}">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FE0001-0099-42EE-8C1A-0021006500E7}">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0900F1-0098-48B0-9D3A-008C00E30083}">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3A00DC-00E5-4346-9AC6-00DF008A0018}">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B800CF-00A1-46D1-B82A-0068009A0011}">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0D00F2-0081-498A-9CD3-008000F00006}">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2F001E-0041-4016-9D4F-0050007E0064}">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F4004C-00D0-43E3-A290-00F400FD00CC}">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5B00F4-0096-4855-AED4-00C700B4006A}">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5B001E-0041-45F6-9FF7-004F00750087}">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7C0005-008E-46B0-B6E9-0070006E00BF}">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340063-00DA-40C9-BBE1-008E00F9008B}">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6" text="Высокий уровень" id="{0047003E-0064-43C0-98B1-0070002A008E}">
            <xm:f>NOT(ISERROR(SEARCH("Высокий уровень",D9)))</xm:f>
            <x14:dxf>
              <fill>
                <patternFill patternType="solid">
                  <fgColor rgb="FF70AD47"/>
                  <bgColor rgb="FF70AD47"/>
                </patternFill>
              </fill>
            </x14:dxf>
          </x14:cfRule>
          <xm:sqref>F11</xm:sqref>
        </x14:conditionalFormatting>
        <x14:conditionalFormatting xmlns:xm="http://schemas.microsoft.com/office/excel/2006/main">
          <x14:cfRule type="containsText" priority="5" text="Выше среднего" id="{008D002B-0076-4FCE-934E-0058008D00D9}">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B40011-0068-4229-AF95-0063009B00E5}">
            <xm:f>NOT(ISERROR(SEARCH("Выше среднего",D9)))</xm:f>
            <x14:dxf>
              <fill>
                <patternFill patternType="solid">
                  <fgColor rgb="FFA9D08D"/>
                  <bgColor rgb="FFA9D08D"/>
                </patternFill>
              </fill>
            </x14:dxf>
          </x14:cfRule>
          <xm:sqref>F14</xm:sqref>
        </x14:conditionalFormatting>
        <x14:conditionalFormatting xmlns:xm="http://schemas.microsoft.com/office/excel/2006/main">
          <x14:cfRule type="containsText" priority="5" text="Выше среднего" id="{0007005F-0086-4679-AC47-0023009F0061}">
            <xm:f>NOT(ISERROR(SEARCH("Выше среднего",D9)))</xm:f>
            <x14:dxf>
              <fill>
                <patternFill patternType="solid">
                  <fgColor rgb="FFA9D08D"/>
                  <bgColor rgb="FFA9D08D"/>
                </patternFill>
              </fill>
            </x14:dxf>
          </x14:cfRule>
          <xm:sqref>F16</xm:sqref>
        </x14:conditionalFormatting>
        <x14:conditionalFormatting xmlns:xm="http://schemas.microsoft.com/office/excel/2006/main">
          <x14:cfRule type="containsText" priority="5" text="Выше среднего" id="{000D00B8-0028-4B33-9D53-00EA00CF00B0}">
            <xm:f>NOT(ISERROR(SEARCH("Выше среднего",D9)))</xm:f>
            <x14:dxf>
              <fill>
                <patternFill patternType="solid">
                  <fgColor rgb="FFA9D08D"/>
                  <bgColor rgb="FFA9D08D"/>
                </patternFill>
              </fill>
            </x14:dxf>
          </x14:cfRule>
          <xm:sqref>F16</xm:sqref>
        </x14:conditionalFormatting>
        <x14:conditionalFormatting xmlns:xm="http://schemas.microsoft.com/office/excel/2006/main">
          <x14:cfRule type="containsText" priority="5" text="Выше среднего" id="{006C0010-0008-4887-B6F9-00DD001000B5}">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3E0080-0012-47DC-9ACA-0001007400A3}">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D90031-00C8-4729-A418-006900A300B1}">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F800D7-0002-4543-A2E8-004A001B0097}">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5F0005-008B-4DBC-A55F-007B00B40012}">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C9001A-00AC-4C18-9ACB-002B000600FF}">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E20052-0024-494B-8B30-00F30083004F}">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B1007A-0084-469E-9CB0-00AC009C003F}">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800054-0050-4A81-8E61-004A00F50038}">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7B0038-0076-412C-B4A5-005C00800056}">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900026-0047-4E50-92FB-00F4002C00F9}">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8F0033-008D-4457-AB9C-001200D300E3}">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240084-00D9-4DCD-9030-0084007D0082}">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500000-00CB-4057-AC0A-009300E00059}">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1F00D8-00BB-4C3C-ABDF-009500F500F7}">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FA0075-00D4-4277-AE6E-00A100EA008E}">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2B0043-0081-4FD2-9454-00FD00F90052}">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990009-00B1-4CA2-9987-00B000D60062}">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E80001-00B9-485A-97F1-00E1009E00A6}">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C90015-0043-4777-987B-00CE00A300A4}">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F6003A-002C-4B94-9570-00E90013003C}">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42003E-00B9-4C9C-B5A5-00AF00EB0003}">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7D009A-0025-4ED9-9A24-002400200057}">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E70009-00AE-40AB-AEFE-0099006800C8}">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22004C-0031-421F-928C-00F600F200C1}">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0C00FA-0005-44B5-9310-00C700FC001C}">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0C007C-0058-4643-AD99-00BE001E0025}">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850052-0055-4AC4-AA70-004C001500C0}">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960089-0028-4C7A-AD48-00DB00490048}">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7B00E5-0048-4755-8E3E-004E00500024}">
            <xm:f>NOT(ISERROR(SEARCH("Выше среднего",D9)))</xm:f>
            <x14:dxf>
              <fill>
                <patternFill patternType="solid">
                  <fgColor rgb="FFA9D08D"/>
                  <bgColor rgb="FFA9D08D"/>
                </patternFill>
              </fill>
            </x14:dxf>
          </x14:cfRule>
          <xm:sqref>F4</xm:sqref>
        </x14:conditionalFormatting>
        <x14:conditionalFormatting xmlns:xm="http://schemas.microsoft.com/office/excel/2006/main">
          <x14:cfRule type="containsText" priority="5" text="Выше среднего" id="{00BB00B5-00F6-4CFB-A56F-007A00A30066}">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9F0055-0079-4F57-928A-00260001000C}">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7D00D2-008F-4B59-9C33-0006003100C2}">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CE00AF-003B-4468-8C2F-0056002000DF}">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2C0096-002D-4020-BB87-0077002900DF}">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F70024-0051-4435-B995-00FC00BC002E}">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980058-0005-48B9-AB4C-0033002A0082}">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C9005B-007C-42EA-A722-00CD00AE0025}">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2E00F2-0039-4900-818C-00A300D300A6}">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C20023-00D8-4C3F-9366-00B400EE00F6}">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810055-00F6-4A5C-8586-009D00560003}">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440057-006A-449E-9F65-000F002200A4}">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2A006C-00FC-4D34-855B-000A00FB003D}">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FB00EC-0079-40F8-B4F5-0056002000EA}">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2400AD-000D-437F-82CB-00B8008900CF}">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640012-000A-4726-9188-00B200BC002F}">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030064-000D-4719-BA2C-00A1001C0005}">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020021-0019-4E33-96C1-002D00BA002D}">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150046-00DB-40E6-8BCC-002E00D900A3}">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080021-00F5-4303-B0A3-00E300F90097}">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FE002E-00A5-4ED0-8498-004100C30011}">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180095-0045-4A75-8B76-0024005B005F}">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35001B-0081-469E-9716-003A00C3001F}">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040085-0014-4CF3-AF39-00F200FE007A}">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CB00A5-005D-4C6C-B42F-002F00C600D7}">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2E0045-00F3-430F-AEA1-005E00C900B8}">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7B0089-004E-4101-8F01-0033008000B6}">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660044-007D-448F-BBF1-00F8007B004C}">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88007B-00B3-45D0-836B-000E00730043}">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8200BA-00FB-44CC-8B0A-00B600D9007D}">
            <xm:f>NOT(ISERROR(SEARCH("Выше среднего",D9)))</xm:f>
            <x14:dxf>
              <fill>
                <patternFill patternType="solid">
                  <fgColor rgb="FFA9D08D"/>
                  <bgColor rgb="FFA9D08D"/>
                </patternFill>
              </fill>
            </x14:dxf>
          </x14:cfRule>
          <xm:sqref>F5</xm:sqref>
        </x14:conditionalFormatting>
        <x14:conditionalFormatting xmlns:xm="http://schemas.microsoft.com/office/excel/2006/main">
          <x14:cfRule type="containsText" priority="5" text="Выше среднего" id="{008800F7-005F-433C-9B6B-00D600ED007B}">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B000D0-000C-426C-AC1D-00C800EF00DA}">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0F00D7-00DA-4B92-A85D-005F00DE007F}">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040001-0055-4689-80FF-009B008D00B3}">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110007-0078-4C36-AAE9-008100D70042}">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5A0084-004B-43DB-8796-007B00CF0068}">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7200CB-0080-4ABE-8F0C-00A900E4002A}">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FD009B-00F3-4CBB-A5E8-00F10066000E}">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FD0012-0083-4C95-9AA3-007C001C00CA}">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020087-0056-41D8-9F92-00D1008D0052}">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BE006A-0089-4AB0-962D-00BE0030003A}">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1900A8-00F1-4B4F-9E82-0055005C00EF}">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F9009F-002C-46A7-9090-001A0024000D}">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010094-00AD-4FC7-A4CA-0026007100B9}">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CC004C-0064-46DC-BC4C-00F9005300DD}">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A00028-001E-4D92-94FF-007600A100C0}">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2900E2-00E2-4A6F-AB3C-004200430042}">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92001B-004F-4EB5-87A4-00BB00080053}">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38004B-006C-4A78-9782-0020001400A2}">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220040-0070-49E0-81E9-004700C1000D}">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B7004B-00EE-4B64-A65E-000C008200B3}">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F8003F-00EC-4556-8A07-00D1000600F7}">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D800B2-00C2-44CB-9955-0077005F0001}">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1C0086-00B8-4E69-882F-007800F90084}">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780057-008A-4A81-9185-003F0092003B}">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1600DF-0063-4615-81EC-002400280091}">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9D0066-0041-4619-9815-008F005700C2}">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D200C1-0088-4997-B56C-000100DE003B}">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1B0013-00C8-4A8A-8668-00710000001A}">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5E001C-00E2-469B-A226-0002003800F1}">
            <xm:f>NOT(ISERROR(SEARCH("Выше среднего",D9)))</xm:f>
            <x14:dxf>
              <fill>
                <patternFill patternType="solid">
                  <fgColor rgb="FFA9D08D"/>
                  <bgColor rgb="FFA9D08D"/>
                </patternFill>
              </fill>
            </x14:dxf>
          </x14:cfRule>
          <xm:sqref>F6</xm:sqref>
        </x14:conditionalFormatting>
        <x14:conditionalFormatting xmlns:xm="http://schemas.microsoft.com/office/excel/2006/main">
          <x14:cfRule type="containsText" priority="5" text="Выше среднего" id="{002800F0-0051-48ED-92C4-00EB00AB0039}">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940099-008D-4E79-9BB3-00CC00F10030}">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C40033-0043-4CD3-9A46-002F000A008D}">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510074-00E6-4118-A2BC-00CA0036007B}">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E100A6-0093-43B1-8798-00A300600091}">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8E0092-0041-4D00-A801-00A800730085}">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8000E3-00D9-4505-BCB8-00A600C2004C}">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240078-000B-4493-B542-009600AD000F}">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3400FE-0049-4DAF-9597-00A3001C006B}">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34004B-00C5-47E8-BAC7-003300A600BC}">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DA000C-0036-4BCA-80E6-005300F10087}">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19009A-007A-4FAE-BE75-000100A300E3}">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43007A-0033-4687-9DA0-0035003D0096}">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FA00F6-004B-4C72-997C-000000AD00DA}">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6200E1-0093-427F-941C-00860049003C}">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F200FD-0072-4A5C-94EF-00D800E20036}">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40007A-00B2-4566-933C-0038003200B0}">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0300CB-00F8-42C6-A6DC-0002007B005F}">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1B0022-00EB-4AE5-97C4-000A00520041}">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1C001C-00FC-4D6C-A05A-00FF00FA00CD}">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6500D4-00CE-4C06-A93B-00530054002E}">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0F0012-0002-41CE-8BEB-003700D60049}">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D50054-00F1-4107-8815-00CF001C0054}">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7E0074-001B-474F-B20E-00FF005300EB}">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DF00DC-00E7-4D96-A7DD-001200C80070}">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6A009B-0001-4E15-AE0B-00EE001300BD}">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4800FA-00F8-465C-9E77-00A3006B001D}">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840019-0014-4614-86E2-00A000F9004B}">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D00051-00D7-4112-86C9-00FB002B00DC}">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5E0069-00F7-4141-AB1C-005C004000EA}">
            <xm:f>NOT(ISERROR(SEARCH("Выше среднего",D9)))</xm:f>
            <x14:dxf>
              <fill>
                <patternFill patternType="solid">
                  <fgColor rgb="FFA9D08D"/>
                  <bgColor rgb="FFA9D08D"/>
                </patternFill>
              </fill>
            </x14:dxf>
          </x14:cfRule>
          <xm:sqref>F7</xm:sqref>
        </x14:conditionalFormatting>
        <x14:conditionalFormatting xmlns:xm="http://schemas.microsoft.com/office/excel/2006/main">
          <x14:cfRule type="containsText" priority="5" text="Выше среднего" id="{00500007-007D-4B05-985F-0083000D0062}">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98000F-0004-4DBB-83AC-00EB00A70076}">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CB0012-005C-43E1-8E60-000A000A0030}">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C8003B-0034-4266-8817-00CB006E009C}">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B30097-008E-4C3C-85BB-008700BF0041}">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B70089-004D-4487-85B6-003E00820035}">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8B0005-000C-46EF-9DE7-00F900930058}">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4600A9-00A4-4F04-9B9E-006800D0007A}">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F40052-0023-4BBF-8B5C-008C00300063}">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3600E4-006E-4EDE-885D-00E5009000A6}">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64007D-0074-4DE9-B7FD-006F00DD0002}">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EC008F-00ED-4889-9964-004400E50044}">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E500D1-00DE-483F-A227-008C001B001E}">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270083-00F6-4725-A2BB-001200B7006F}">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AB0021-0096-4E67-95E5-001900F200D3}">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7100F1-0083-4A53-98EA-00F40065007B}">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CB00C3-001F-4F5C-9B43-004E007D009F}">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9E0023-009B-42CB-8334-001800D500D6}">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4E00A0-007C-4AD2-8DD0-005B003C008D}">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B700A6-0044-4918-BBAA-0053009400E2}">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EA00E9-0058-4E13-9C6A-009500F400C2}">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290096-0009-479C-B52C-00E60001002D}">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500066-00BE-466E-9F49-001E00F20046}">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C00021-002B-41FE-99F5-008500B90052}">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3B001D-00C7-4E0E-8256-00DE00B6001F}">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52008D-00CA-440C-91AA-0033000300C8}">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BC007B-00D1-4C69-AC28-006B00AB00BC}">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4B0049-0048-492C-84E2-00260000008B}">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B60048-009B-4BEE-8C30-007E002700FE}">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0200FD-00A7-4F46-A69C-001A007C009E}">
            <xm:f>NOT(ISERROR(SEARCH("Выше среднего",D9)))</xm:f>
            <x14:dxf>
              <fill>
                <patternFill patternType="solid">
                  <fgColor rgb="FFA9D08D"/>
                  <bgColor rgb="FFA9D08D"/>
                </patternFill>
              </fill>
            </x14:dxf>
          </x14:cfRule>
          <xm:sqref>F8</xm:sqref>
        </x14:conditionalFormatting>
        <x14:conditionalFormatting xmlns:xm="http://schemas.microsoft.com/office/excel/2006/main">
          <x14:cfRule type="containsText" priority="5" text="Выше среднего" id="{00C50078-00A7-483A-92AA-002C00680053}">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E5001F-0097-4EE7-A309-004E009F00A8}">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D80062-003B-4C39-9F80-00F2009E00BE}">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7600FF-0080-4123-8604-0083007C00B7}">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7B00E8-00AB-4FD3-8444-0033002B00E9}">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8B0017-006E-48CD-B0CA-004F0036004A}">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FB001E-0099-4144-A315-00370009000C}">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0A00AF-00F7-4C21-B751-00F800A10015}">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D80071-0015-488D-947B-002D00E20023}">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3B00A3-0020-452E-B4F2-000900C0004B}">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88006A-009F-4E73-8B75-008100DA002A}">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7D006C-0070-485A-8EB8-00C100620040}">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FA00B7-00E4-4CAF-92F9-007300990052}">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0B000D-00B6-43E1-ABEE-001300C100A4}">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6D008D-00E4-4A2D-AF9C-007A008E0091}">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10001D-003B-4DBE-A5AD-00CF004E0046}">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18007E-00A7-4C74-BAC4-00EF009000D4}">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D80055-00F8-4E47-93B8-00EB00910068}">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F90022-006A-48B3-9793-00DD00CF0087}">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000086-00B7-4E2C-A25F-009A00F100B8}">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8400D5-0002-451C-A643-008400750048}">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3F00B3-0023-4CB8-BCE0-00CE00C00093}">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B2009E-0016-4DFA-B8A3-00F4009000F2}">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380033-00AE-4EF0-BFF4-002800380007}">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4C00C4-00C9-44B9-8458-00F400B70023}">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A70081-00DA-44B5-A451-002700920089}">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920016-00EB-468B-8A19-004C0075006A}">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0F004B-00F9-47EC-80B7-00C5003E0023}">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9300B6-0014-4909-A79B-004F004000B0}">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5" text="Выше среднего" id="{00210003-0056-4AB7-BBAF-00D500DD00A6}">
            <xm:f>NOT(ISERROR(SEARCH("Выше среднего",D9)))</xm:f>
            <x14:dxf>
              <fill>
                <patternFill patternType="solid">
                  <fgColor rgb="FFA9D08D"/>
                  <bgColor rgb="FFA9D08D"/>
                </patternFill>
              </fill>
            </x14:dxf>
          </x14:cfRule>
          <xm:sqref>F11</xm:sqref>
        </x14:conditionalFormatting>
        <x14:conditionalFormatting xmlns:xm="http://schemas.microsoft.com/office/excel/2006/main">
          <x14:cfRule type="containsText" priority="4" text="Средний уровень" id="{005E00EA-009B-403B-A873-0085005000CC}">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5900D5-00BD-40A8-AAA3-007200AF00D9}">
            <xm:f>NOT(ISERROR(SEARCH("Средний уровень",D9)))</xm:f>
            <x14:dxf>
              <font>
                <color theme="1" tint="0"/>
              </font>
              <fill>
                <patternFill patternType="solid">
                  <fgColor indexed="5"/>
                  <bgColor indexed="5"/>
                </patternFill>
              </fill>
            </x14:dxf>
          </x14:cfRule>
          <xm:sqref>F14</xm:sqref>
        </x14:conditionalFormatting>
        <x14:conditionalFormatting xmlns:xm="http://schemas.microsoft.com/office/excel/2006/main">
          <x14:cfRule type="containsText" priority="4" text="Средний уровень" id="{00DF009A-0079-4A38-83F6-00C3002400FD}">
            <xm:f>NOT(ISERROR(SEARCH("Средний уровень",D9)))</xm:f>
            <x14:dxf>
              <font>
                <color theme="1" tint="0"/>
              </font>
              <fill>
                <patternFill patternType="solid">
                  <fgColor indexed="5"/>
                  <bgColor indexed="5"/>
                </patternFill>
              </fill>
            </x14:dxf>
          </x14:cfRule>
          <xm:sqref>F16</xm:sqref>
        </x14:conditionalFormatting>
        <x14:conditionalFormatting xmlns:xm="http://schemas.microsoft.com/office/excel/2006/main">
          <x14:cfRule type="containsText" priority="4" text="Средний уровень" id="{00910030-003E-44C5-B8C3-003B006F0057}">
            <xm:f>NOT(ISERROR(SEARCH("Средний уровень",D9)))</xm:f>
            <x14:dxf>
              <font>
                <color theme="1" tint="0"/>
              </font>
              <fill>
                <patternFill patternType="solid">
                  <fgColor indexed="5"/>
                  <bgColor indexed="5"/>
                </patternFill>
              </fill>
            </x14:dxf>
          </x14:cfRule>
          <xm:sqref>F16</xm:sqref>
        </x14:conditionalFormatting>
        <x14:conditionalFormatting xmlns:xm="http://schemas.microsoft.com/office/excel/2006/main">
          <x14:cfRule type="containsText" priority="4" text="Средний уровень" id="{002A0028-00D3-4051-8A34-00E900B5008E}">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550084-00C5-4357-8CB9-00F0009A0082}">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170001-00F6-40C0-BB5A-005C004700E9}">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0900BC-0056-487A-A274-0026003C0065}">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FA0087-00FA-4978-AB4C-00D200A5000B}">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250041-00A9-4D3C-B556-002500770094}">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F800C8-0048-4793-AC96-0047009D00F0}">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500008-00DE-4444-8FAE-002200EE0084}">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6900F6-0033-4BD5-86EA-00AC00DA0083}">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B5000C-0096-40C5-BEF1-0055001B00AA}">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2000BE-002F-4D9C-884E-006600530033}">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4300B2-0027-4EBF-A873-001F00E1001D}">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3C0040-0034-4892-898C-003E005E0002}">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6000CA-002F-472C-8943-002300960050}">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7D003F-00E5-4460-8FC3-002600310082}">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8800C8-0091-4786-A82F-00DF005E00C6}">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8B00BE-009F-4B3B-836C-005F000700F0}">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9300C2-006B-4910-A8BC-00A000E10035}">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930079-00F0-4ACD-A61E-00B100E8009C}">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DA005D-00E1-44EA-B10F-00190059004F}">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9100AF-001B-4E5B-AD12-005C00BC00E8}">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5700A0-00B5-4ABB-B4A2-00F3005000FC}">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9100FE-00CC-4342-A743-00530051009D}">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E100EA-00C3-4EF9-AF07-006600170025}">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5E006B-00B5-4562-8015-00050047007F}">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B10017-000B-4413-9748-006B005E0005}">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5C0030-001A-4736-8C27-001C006A005D}">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D8000C-0056-4759-A8D8-006C00960032}">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CC005E-001E-4DC7-8261-00B20012009D}">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320041-00A3-4FD5-B60C-008C00C9007C}">
            <xm:f>NOT(ISERROR(SEARCH("Средний уровень",D9)))</xm:f>
            <x14:dxf>
              <font>
                <color theme="1" tint="0"/>
              </font>
              <fill>
                <patternFill patternType="solid">
                  <fgColor indexed="5"/>
                  <bgColor indexed="5"/>
                </patternFill>
              </fill>
            </x14:dxf>
          </x14:cfRule>
          <xm:sqref>F4</xm:sqref>
        </x14:conditionalFormatting>
        <x14:conditionalFormatting xmlns:xm="http://schemas.microsoft.com/office/excel/2006/main">
          <x14:cfRule type="containsText" priority="4" text="Средний уровень" id="{00A9009F-0001-4677-9DB1-00D1005D000D}">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FF00C8-00E1-4D62-8360-00D4000B0097}">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150086-005D-4198-AA38-00FF007A00F3}">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C2002D-00E6-4FB5-ADAE-00A500120026}">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960064-00A5-48FF-A2F3-000500FE0043}">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0C0012-004E-4C19-A0F2-0086003800B0}">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940076-004C-416E-8DE3-00C6001100C9}">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4400D5-00BD-4A01-A16B-0090001B005E}">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300052-0063-4F80-B277-00FF00DB00BC}">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F000C1-0055-4627-A575-004300D8009B}">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330068-00C8-4CD4-9061-005100880066}">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720029-001C-4DB6-A9F9-004600F800E3}">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2700A7-007F-4F8B-90DE-002D002800F7}">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A5006F-009D-453F-9697-00DC00EA0058}">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6C002D-00E2-4188-A55F-007900C00025}">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860002-007A-4F8F-88FF-0051007300DA}">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070055-00A5-4EAF-957C-00FD003000A3}">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F40074-00F5-4CCF-A79A-00860031008F}">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AA00AA-001B-4AD0-9F95-00EE00EE00B6}">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1900A5-003D-4676-BC03-003B00FB008F}">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D70024-009D-4847-941B-004700A2006D}">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560092-001A-41A0-AA3A-00A600AB00CE}">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2B0083-003F-419C-A948-009500800008}">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6900CA-00EE-43FB-A859-004900BE003B}">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7D00AF-00AA-4CAE-BC49-008600110091}">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78004C-00AC-4C70-BC06-001A00550055}">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5C00F4-00D4-4521-9E0B-005100E1002D}">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BD00F6-00D7-482C-A797-000D003D0092}">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7C0014-0045-4C27-84DD-0095007C00E8}">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080083-00BF-41DB-B0B4-0072002E009A}">
            <xm:f>NOT(ISERROR(SEARCH("Средний уровень",D9)))</xm:f>
            <x14:dxf>
              <font>
                <color theme="1" tint="0"/>
              </font>
              <fill>
                <patternFill patternType="solid">
                  <fgColor indexed="5"/>
                  <bgColor indexed="5"/>
                </patternFill>
              </fill>
            </x14:dxf>
          </x14:cfRule>
          <xm:sqref>F5</xm:sqref>
        </x14:conditionalFormatting>
        <x14:conditionalFormatting xmlns:xm="http://schemas.microsoft.com/office/excel/2006/main">
          <x14:cfRule type="containsText" priority="4" text="Средний уровень" id="{003A001D-00C5-4AA8-B9F3-00D100D400A0}">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EA00EB-00BE-4A01-A47E-00C7002A0002}">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6000DE-0095-4BC6-9860-00810081003A}">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B000A6-00EE-4A0F-A64E-006B005000C3}">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3F00A4-008F-4C3C-9D02-0071007700C2}">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6400A5-0059-4229-B2EE-006D006B00B9}">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7E0000-00A3-4FBB-B9F9-00C5002600DA}">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1B00B3-00C3-4B59-8DD2-001D006B00F4}">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6D00B6-0029-48B4-8B37-00850025003B}">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570022-00CD-467D-A231-002800240095}">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7F002D-00F7-468B-A59B-00F700E800F3}">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4800D8-0036-430D-AA49-0083004A0063}">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1C007D-0076-4487-926A-00C0005D005B}">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66006E-00FD-4873-9ECE-00DA00A5009A}">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C000F0-0042-495D-BE79-0015006500E5}">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0500E2-0054-44A9-BF81-007C0073008C}">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B30055-0091-4818-B91E-001400A200B2}">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110010-0039-402C-816D-00CA002F0037}">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F300BB-0072-4967-AA35-00820025009E}">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3E0093-006F-438C-942F-008D003800E5}">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7000DC-00CC-4F39-AA1E-007700A80011}">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7E003A-002B-42E0-BF2D-001A00A700FC}">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1300AB-0035-452E-8AF5-007A00BC0050}">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B80038-0035-49A7-94DD-00A10038006D}">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780087-00BE-4B7C-8D11-00E200B000DD}">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1D00C4-00DB-48CC-81B8-00A100A10065}">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E100D8-0080-4F73-8509-00D5003E0097}">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8B0019-0013-4DAE-812A-00DB007900B9}">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1F00B8-0029-4AB9-B9E4-00A200FB00C3}">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CB00B4-0028-4D34-8FA2-0064005900CA}">
            <xm:f>NOT(ISERROR(SEARCH("Средний уровень",D9)))</xm:f>
            <x14:dxf>
              <font>
                <color theme="1" tint="0"/>
              </font>
              <fill>
                <patternFill patternType="solid">
                  <fgColor indexed="5"/>
                  <bgColor indexed="5"/>
                </patternFill>
              </fill>
            </x14:dxf>
          </x14:cfRule>
          <xm:sqref>F6</xm:sqref>
        </x14:conditionalFormatting>
        <x14:conditionalFormatting xmlns:xm="http://schemas.microsoft.com/office/excel/2006/main">
          <x14:cfRule type="containsText" priority="4" text="Средний уровень" id="{00C200BB-0068-4809-B952-009000890066}">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6D001C-003C-4CA9-801A-0023009600E2}">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B1000F-0065-42E7-B299-00AD00BE0037}">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0300BF-00FC-409C-948A-0048007400BF}">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9A0051-0098-42B8-B89B-00DD004F0085}">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E70044-0046-45B0-8E30-002A0074002E}">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16009D-00E7-4957-8BF2-00D800F10004}">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6700FB-00C8-42E2-91E1-000900E5005B}">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9E006A-0048-4270-81DC-00F600D80018}">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DF0054-00BA-4CDB-AA29-0075009400BC}">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6F0018-0068-4614-A7D0-00CB002C00AB}">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020097-0062-4EEA-8C1B-00670022004D}">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920048-003C-4AD5-84DE-00D2008D003A}">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23008B-0053-4F78-84E4-00FF00BE00D1}">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0C0003-003E-4FBE-8CF5-002600560080}">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08004D-00D2-47CD-8BF1-003B006B0060}">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2D00C7-00FB-465C-AC18-00B200200060}">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9A0054-0065-4A1A-9B3D-00D900C600B9}">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190086-0031-42B9-98BC-002E007A00BB}">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F40072-00B2-4F94-8CD8-006400C1009C}">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D8005C-00F1-4D1F-A51E-0029002400D2}">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56006B-005E-499A-9338-0009003500B7}">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6700AB-0056-4FCB-BE40-00D0009900D8}">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93009F-0043-44C1-8C33-00D1000F0017}">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710060-001E-48BA-878B-00C200C90068}">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A00044-00AE-4CC7-B63D-004300690053}">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81007A-00DC-406A-9170-003100140048}">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F70041-00CC-4E8F-8DAF-002D004C00EC}">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7400C1-00DF-4721-BCF3-007F00030095}">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FA00B0-00A6-4DB2-9279-006200040048}">
            <xm:f>NOT(ISERROR(SEARCH("Средний уровень",D9)))</xm:f>
            <x14:dxf>
              <font>
                <color theme="1" tint="0"/>
              </font>
              <fill>
                <patternFill patternType="solid">
                  <fgColor indexed="5"/>
                  <bgColor indexed="5"/>
                </patternFill>
              </fill>
            </x14:dxf>
          </x14:cfRule>
          <xm:sqref>F7</xm:sqref>
        </x14:conditionalFormatting>
        <x14:conditionalFormatting xmlns:xm="http://schemas.microsoft.com/office/excel/2006/main">
          <x14:cfRule type="containsText" priority="4" text="Средний уровень" id="{00AA00A6-0088-4ABE-AE34-000D00E100BA}">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35005B-0098-4B9F-A1A9-005700D300D4}">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010031-0045-4DB9-AFFA-008400DA009B}">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F400F6-00C1-433A-910B-001100930049}">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60000B-00BF-498C-A1A0-0019000400A3}">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960066-001E-4DFB-86B2-00C300620092}">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7A00B3-0084-4C30-9C86-005300EB00F8}">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290046-006C-4D86-B38E-007600C40017}">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B0005C-0095-4C1E-B7C5-008A005F0070}">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370089-0048-483E-9453-00E1002000F7}">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7700DD-009B-4B60-9ADD-00E800DC0033}">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30000F-000F-4EC0-9101-00C900530060}">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25003C-0089-442E-90F0-002D0099006E}">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98001F-00A1-4B65-9BF3-0018001D00A9}">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030054-00D9-4AA3-AF3D-00FC0007007D}">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9A001D-00F8-452C-831C-00E9001D002D}">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7D00E4-0062-47D4-8071-0026004A0091}">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1A007E-0084-499D-AE58-006500FC0080}">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800032-004C-4E53-AE78-00F7007A008C}">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A40030-008B-4A13-A4CA-006D001B0069}">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390027-0047-47B9-873F-0063005700D5}">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9D00FC-009D-4011-889D-001F008C0044}">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A900EB-00FE-423F-B240-00CC00F30017}">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B900D0-006F-44E3-B2BF-003F00580019}">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BE00B9-0089-427A-81E0-0062003300C6}">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8C00C4-009C-4975-8EB3-00A000D80016}">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A70078-00E2-428E-A006-00F70090008F}">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ED00D7-00A3-4F26-A17C-00D300B7003A}">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D9000F-0026-46C3-9B7B-006D003900D6}">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DA0001-00C4-434B-9619-000000AF00FF}">
            <xm:f>NOT(ISERROR(SEARCH("Средний уровень",D9)))</xm:f>
            <x14:dxf>
              <font>
                <color theme="1" tint="0"/>
              </font>
              <fill>
                <patternFill patternType="solid">
                  <fgColor indexed="5"/>
                  <bgColor indexed="5"/>
                </patternFill>
              </fill>
            </x14:dxf>
          </x14:cfRule>
          <xm:sqref>F8</xm:sqref>
        </x14:conditionalFormatting>
        <x14:conditionalFormatting xmlns:xm="http://schemas.microsoft.com/office/excel/2006/main">
          <x14:cfRule type="containsText" priority="4" text="Средний уровень" id="{00140089-0021-4FDA-B5EF-00A900F80054}">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D500EC-0009-4FFF-9AD0-0032005C00D8}">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7E00DF-0034-4B7F-A826-002500590043}">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F70009-00F4-4EA3-ACF6-00F300DF00E3}">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AC00DA-0062-41D4-91AC-00D900B200EC}">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590092-0097-4016-A6FE-00AB000D00BE}">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CF00EE-003E-41EC-B1F1-005F00B700F0}">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C100B7-0007-49D5-9ABF-00FE00E1001D}">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B0003A-0062-41F2-8B26-0087009000B9}">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6D00DF-00FF-417D-8B66-006D00E5006F}">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9A0072-00CC-477D-99AB-00DD003E00B7}">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310044-0012-4F77-8CCB-005B007000AD}">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9D0046-00F8-4F2E-9F53-00BE00CC00A3}">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6A00C8-0001-47B3-9334-002200B300DE}">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1F0057-007F-4772-AA4C-000D00A60040}">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680098-00E7-42C5-A9CC-00A200B200F0}">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2D007E-0043-4A4F-BDC2-00FD005700B3}">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E20014-0051-4DA2-AAB2-008800A000F7}">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900088-00F6-47A0-ADE6-009F002100F7}">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C500D6-0090-4C12-9CD8-00F8002B00A9}">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0E0064-0024-4D17-9E0F-00A600D300E7}">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350048-00CC-4E3E-AF05-00B800ED00C4}">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87001E-0026-4DDE-86D6-009E00E700ED}">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8E0028-00CB-47A6-ABF1-00F500160051}">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B700C3-0029-4AF2-A266-00C500CE009E}">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340089-0066-4747-8306-001D007B0016}">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9F00B2-00E0-404E-B1AD-00C20027004D}">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11002A-002B-4E72-8280-000300A700F6}">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2F00A3-008A-4D19-806B-00C600EF00FA}">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4" text="Средний уровень" id="{00740081-000D-4627-A283-008400C10005}">
            <xm:f>NOT(ISERROR(SEARCH("Средний уровень",D9)))</xm:f>
            <x14:dxf>
              <font>
                <color theme="1" tint="0"/>
              </font>
              <fill>
                <patternFill patternType="solid">
                  <fgColor indexed="5"/>
                  <bgColor indexed="5"/>
                </patternFill>
              </fill>
            </x14:dxf>
          </x14:cfRule>
          <xm:sqref>F11</xm:sqref>
        </x14:conditionalFormatting>
        <x14:conditionalFormatting xmlns:xm="http://schemas.microsoft.com/office/excel/2006/main">
          <x14:cfRule type="containsText" priority="3" text="Ниже среднего" id="{00190022-0052-4B23-9311-00A000430035}">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4B007D-00E0-4C51-80EC-00B6002500FA}">
            <xm:f>NOT(ISERROR(SEARCH("Ниже среднего",D9)))</xm:f>
            <x14:dxf>
              <fill>
                <patternFill patternType="solid">
                  <fgColor rgb="FFED7D31"/>
                  <bgColor rgb="FFED7D31"/>
                </patternFill>
              </fill>
            </x14:dxf>
          </x14:cfRule>
          <xm:sqref>F14</xm:sqref>
        </x14:conditionalFormatting>
        <x14:conditionalFormatting xmlns:xm="http://schemas.microsoft.com/office/excel/2006/main">
          <x14:cfRule type="containsText" priority="3" text="Ниже среднего" id="{00D30018-00DB-43CE-B49D-0037004400D0}">
            <xm:f>NOT(ISERROR(SEARCH("Ниже среднего",D9)))</xm:f>
            <x14:dxf>
              <fill>
                <patternFill patternType="solid">
                  <fgColor rgb="FFED7D31"/>
                  <bgColor rgb="FFED7D31"/>
                </patternFill>
              </fill>
            </x14:dxf>
          </x14:cfRule>
          <xm:sqref>F16</xm:sqref>
        </x14:conditionalFormatting>
        <x14:conditionalFormatting xmlns:xm="http://schemas.microsoft.com/office/excel/2006/main">
          <x14:cfRule type="containsText" priority="3" text="Ниже среднего" id="{00DF0037-00A2-4AAA-8BA4-0020009C009C}">
            <xm:f>NOT(ISERROR(SEARCH("Ниже среднего",D9)))</xm:f>
            <x14:dxf>
              <fill>
                <patternFill patternType="solid">
                  <fgColor rgb="FFED7D31"/>
                  <bgColor rgb="FFED7D31"/>
                </patternFill>
              </fill>
            </x14:dxf>
          </x14:cfRule>
          <xm:sqref>F16</xm:sqref>
        </x14:conditionalFormatting>
        <x14:conditionalFormatting xmlns:xm="http://schemas.microsoft.com/office/excel/2006/main">
          <x14:cfRule type="containsText" priority="3" text="Ниже среднего" id="{00240022-0084-432A-8853-006200D700E5}">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890046-000E-4EB9-927F-009000D800AA}">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F400F3-008A-4F58-B610-0072007D0052}">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9B00B0-00EF-43B6-94D1-00B700140027}">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400014-00C7-4396-86C7-00A4001200C6}">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0500E1-0081-4DB3-8F39-003B00A5009F}">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05004C-0018-4BDE-BBB1-0025005300FF}">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B9007E-0086-40F2-84CB-00D60003002C}">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89006F-00BE-41E9-A316-00A900220098}">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2B001B-00C3-412C-A0BA-00E100AA0063}">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8500F9-00CE-4A58-AC0C-008200400016}">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ED007D-00E5-4855-8457-006700CF00D2}">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48007A-008B-44E5-8EB4-001C00270008}">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35008C-0079-4F1F-858C-005E005C0035}">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AF0096-0023-49DD-8605-002A000F00B9}">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EB0036-00F1-4FE3-B620-007400FE00F3}">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120045-0057-49DD-8B74-00DD00520018}">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D50008-0000-411C-A812-007400A300B3}">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48009C-007D-4255-8FE1-00E70032000F}">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1A004A-00C7-4D02-A031-00910010007B}">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320008-005D-477F-9DFE-001800270019}">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8C00F3-000D-487D-A716-0005007C0001}">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D300DD-0016-4F57-9212-007900DA003F}">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4E0043-007C-4D35-92CE-0032006E0026}">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B90055-004C-47B8-8404-0044005B00A4}">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A600D2-00CA-4267-9E9E-00D7005A00C9}">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8800CE-0018-4862-9C60-003B004C00A4}">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210009-00F4-477D-AD2B-00B100000086}">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6200C1-0099-4199-90E0-0044004D004F}">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060002-007B-4562-8C1F-00A8009800F4}">
            <xm:f>NOT(ISERROR(SEARCH("Ниже среднего",D9)))</xm:f>
            <x14:dxf>
              <fill>
                <patternFill patternType="solid">
                  <fgColor rgb="FFED7D31"/>
                  <bgColor rgb="FFED7D31"/>
                </patternFill>
              </fill>
            </x14:dxf>
          </x14:cfRule>
          <xm:sqref>F4</xm:sqref>
        </x14:conditionalFormatting>
        <x14:conditionalFormatting xmlns:xm="http://schemas.microsoft.com/office/excel/2006/main">
          <x14:cfRule type="containsText" priority="3" text="Ниже среднего" id="{00DB00B1-00D0-4555-A72D-0001003D00C7}">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A5006E-009F-4556-B255-0096006200D0}">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4000E8-006E-464C-A790-00AD00B200EC}">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D2006E-009D-470B-9354-009B00900006}">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10000A-00AD-4D3F-A8C0-00FB006F00DA}">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2B000B-00CC-413F-917B-005D00A0000F}">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2C000A-0099-4626-A9BA-00B100B8007E}">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1E0007-0002-4143-BEDD-009400A60029}">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BF00C1-0058-42B0-A2B9-004D00030072}">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690063-0031-44EB-9F85-0025001F00F8}">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D7003C-003E-4BAD-98B0-0034001400E9}">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450046-0013-4DD3-ABB8-000C00D100E4}">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E40086-00B8-4DEB-ADDE-00F700930016}">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C6002C-007F-42DC-ABAD-001C00AB00D7}">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830018-0012-409E-9DE9-00D600600094}">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4E00FC-00F1-4038-96ED-00AB002400E3}">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830054-009B-45AC-9EDC-001500F30084}">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8300E9-0072-49EF-8809-004600700046}">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B500F3-00DD-4FD1-BD57-00C500BF00D2}">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140088-0068-4F8F-898C-006C009E0002}">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7F008B-00D8-4838-9502-0084009D005C}">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1500BB-008B-4643-9F1B-00A200D10048}">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5F00D0-0079-4E5D-A3D2-00860080004A}">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0100BB-0022-48A5-8AD1-0099003C0018}">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5F0077-0094-4F17-91FB-0009003F00BF}">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EE00BF-0052-48A4-9870-009700190066}">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D6008F-00DA-4FBE-B4A1-0009004500D2}">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0A00BC-0039-4E4A-AADB-007E00280016}">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C000F0-0079-415A-80E3-000200C50079}">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AB0024-0028-49D9-BC6B-006900870092}">
            <xm:f>NOT(ISERROR(SEARCH("Ниже среднего",D9)))</xm:f>
            <x14:dxf>
              <fill>
                <patternFill patternType="solid">
                  <fgColor rgb="FFED7D31"/>
                  <bgColor rgb="FFED7D31"/>
                </patternFill>
              </fill>
            </x14:dxf>
          </x14:cfRule>
          <xm:sqref>F5</xm:sqref>
        </x14:conditionalFormatting>
        <x14:conditionalFormatting xmlns:xm="http://schemas.microsoft.com/office/excel/2006/main">
          <x14:cfRule type="containsText" priority="3" text="Ниже среднего" id="{001E0002-0069-4F07-B04D-00DA002D006D}">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3300E6-0096-46BA-94C0-00D900800092}">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F30075-00B3-4061-9CF9-00C300E8005B}">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7500BE-004D-4E07-A778-002900DF003A}">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9400A0-00A3-4002-AF8C-00A10099007B}">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6B0011-0057-4010-BDEA-0071007A0024}">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C20095-0096-4488-9E0F-002100D40040}">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8700F2-0094-4B0C-A833-00D600BE0075}">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5A00C4-00AA-4D36-9CD6-00090093002D}">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CD009F-0049-478D-9D62-003800350024}">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CC0068-0003-4C57-821E-006E00C0001E}">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000055-003B-43D3-81C2-0049003E00C2}">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2C005F-00F5-4908-B651-0030005E00CE}">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FF0084-0000-41E1-B447-00600098002A}">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B800E4-000E-4AF6-AF2D-00A500F300C0}">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370020-00DB-4B69-B1D5-0086002D004C}">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70006F-009C-4045-B852-003C0050003A}">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900015-00AC-44CF-858E-002700CF0034}">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15004E-008B-4FC8-8DA7-00A700BA009F}">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EA0059-0054-41B0-86C1-003400D400B9}">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66005A-009B-4D32-9635-002C009600A5}">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CD00CA-0090-4E2E-BAF6-007B0082006B}">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B60028-00B0-47FD-BA05-00620072004B}">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56001F-0032-44B1-A6E5-00D8005D0085}">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520060-009B-46E7-A166-0041004B00C8}">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B70018-0057-466C-B24C-008C00DB001D}">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B0007D-00F3-412B-AB4C-00CA007B00C9}">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4F0058-0004-4087-8D5B-00E500550050}">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520089-00A9-4434-AC99-004900990050}">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3500A8-00B6-4F6C-96B4-009D00150085}">
            <xm:f>NOT(ISERROR(SEARCH("Ниже среднего",D9)))</xm:f>
            <x14:dxf>
              <fill>
                <patternFill patternType="solid">
                  <fgColor rgb="FFED7D31"/>
                  <bgColor rgb="FFED7D31"/>
                </patternFill>
              </fill>
            </x14:dxf>
          </x14:cfRule>
          <xm:sqref>F6</xm:sqref>
        </x14:conditionalFormatting>
        <x14:conditionalFormatting xmlns:xm="http://schemas.microsoft.com/office/excel/2006/main">
          <x14:cfRule type="containsText" priority="3" text="Ниже среднего" id="{00B5000D-0079-4065-B1E9-00FC00720031}">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4700A5-000F-46F7-BB82-00B700F200CE}">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1D002E-0007-4398-9783-007E00EF00A8}">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B300BE-00B6-4482-8C09-000E00CC001C}">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020044-001C-4033-BBB6-000F00BA0029}">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B2004D-00FD-420A-8EF9-005800FB000F}">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EE00A2-00BD-44D2-933A-008E00CB00EC}">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9000BE-0036-4A67-A70B-007700B10089}">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F90026-0063-42EA-A464-001F00CD00F0}">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68001A-004C-4C7B-B235-00FF007E005E}">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EE00D7-008F-4D65-A128-00ED00A80017}">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750038-00B7-4B85-B9D0-00F9004F0040}">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180068-00BF-4FBA-9480-009900570085}">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CA0021-009A-43B3-8F04-00800067003D}">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DE0097-008A-4B9D-83F7-00B3000E0043}">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CD00D4-00BE-4248-90C3-0086009000D9}">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6A00E9-00A4-462D-8004-003C006D0016}">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470088-0044-4004-8BC8-00230069000B}">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9F00CE-0086-4DC5-B5DB-00EF003B0052}">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28002C-00D1-4012-A080-00FD00540017}">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1700D6-00E2-4C0C-91F4-00F90068003F}">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910096-005D-413E-A755-00D500FA004B}">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2300FC-004F-460C-9804-008100860098}">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0A00DE-00AE-4ECB-A5AB-008200FA00A3}">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040039-004D-42B9-88A0-007600D70016}">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030016-00EA-476B-AA1F-0054000E0047}">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8900A0-005D-4FE6-8178-006100970070}">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E8002D-001D-44D1-A188-003F00230057}">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3800B1-0044-4CF1-B920-000A00A400F4}">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6000C1-00D4-4FF0-8E3B-00BD00050052}">
            <xm:f>NOT(ISERROR(SEARCH("Ниже среднего",D9)))</xm:f>
            <x14:dxf>
              <fill>
                <patternFill patternType="solid">
                  <fgColor rgb="FFED7D31"/>
                  <bgColor rgb="FFED7D31"/>
                </patternFill>
              </fill>
            </x14:dxf>
          </x14:cfRule>
          <xm:sqref>F7</xm:sqref>
        </x14:conditionalFormatting>
        <x14:conditionalFormatting xmlns:xm="http://schemas.microsoft.com/office/excel/2006/main">
          <x14:cfRule type="containsText" priority="3" text="Ниже среднего" id="{00D700DB-007E-4080-BD23-00DD0022006B}">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2B005A-0028-4437-98DD-00FA001A00A1}">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FB00F5-008A-47A9-9835-00D8006500CC}">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F200E0-007B-4D86-B8A2-00B900B2008F}">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DC00F5-001F-483B-B633-004400BD009D}">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E3009D-00A9-4917-9DBF-004F00EF003A}">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8F00B3-0095-48FF-BE69-00A00075000E}">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8500C0-00EE-4BE7-8561-000E006C0048}">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5E00C4-0097-4424-8D51-00A2000400AC}">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CB0082-006C-4FBC-B46E-00CF00130087}">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000070-0035-46B8-9B7C-0082002200E2}">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19000E-008F-486D-B4C2-00CE007F00A2}">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CF0015-00C5-4548-8688-000100B10093}">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33005F-00F0-4251-85B2-006E00E500D8}">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B900CA-0085-4317-912D-001500E20012}">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BB008B-0051-4728-ADDF-004300990004}">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29001A-0088-4D51-A989-0073008C0002}">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8B00F2-001D-4478-B5E7-00BE0088006D}">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9100D0-0020-4F8D-97F2-0055000700FF}">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67009C-008F-4465-AA82-0003001300B9}">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050096-00CD-4598-8F9C-00B2000F001B}">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710059-00B7-4072-8589-00C400540055}">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8700DD-0059-4CCE-9090-008800AE00BE}">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8B0039-0005-486F-B3ED-006800E0006C}">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0E00B2-008E-45B8-9A59-00F800EB0014}">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EC00C6-0035-4A2D-B883-00DC007600E3}">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140039-0014-46A8-870D-0037004F00E3}">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BB00EF-001F-45A7-B9BD-00E600A200F5}">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5900D1-001A-4076-898D-006800E7000A}">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C500AA-0074-4EE2-881D-00AE00AD0090}">
            <xm:f>NOT(ISERROR(SEARCH("Ниже среднего",D9)))</xm:f>
            <x14:dxf>
              <fill>
                <patternFill patternType="solid">
                  <fgColor rgb="FFED7D31"/>
                  <bgColor rgb="FFED7D31"/>
                </patternFill>
              </fill>
            </x14:dxf>
          </x14:cfRule>
          <xm:sqref>F8</xm:sqref>
        </x14:conditionalFormatting>
        <x14:conditionalFormatting xmlns:xm="http://schemas.microsoft.com/office/excel/2006/main">
          <x14:cfRule type="containsText" priority="3" text="Ниже среднего" id="{00EB0080-00B1-46F6-B58F-007700E100C3}">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8F00B5-003F-4A85-8E87-004F00660053}">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C800F5-0023-4437-8734-0052001D0026}">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DB0078-0030-4518-9DFA-008600A300D0}">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F300F2-00C7-4EA0-B844-004700EF0011}">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A70041-00A3-4A81-A3DF-00ED0042002D}">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8800C0-0039-4AB7-8B35-0044009400C0}">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8700D0-00B2-4C76-9409-003A004600DD}">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0B0036-0081-48DE-8794-008F001700A2}">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8700EC-00FF-45C6-B3DD-00BD002300C3}">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4600D2-003F-4569-AEDB-007F00300093}">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610082-000C-42BF-89DB-003B000D0085}">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56000D-00DA-4793-8BA2-00A400110023}">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5D004B-0087-47CA-AE73-009B00CB00FD}">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8E0067-007A-4609-A304-00A700CA00B7}">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D200A8-000B-45AE-9705-008900A20087}">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230006-00E1-4526-AE96-00D4004C001D}">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DF00D3-0032-4A28-AA07-00E700A100AC}">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7C0093-0067-42F5-A98D-0000007B00FC}">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45008A-006A-4228-B896-00C2001C0009}">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EC0000-00FB-413F-A512-00F5005E00B6}">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1600A5-0036-461A-8FE4-006200E7009D}">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150022-00AF-4E0C-8783-001C00A500B1}">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050039-0057-414F-B9B9-00CD00E400CC}">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C600E1-00E2-4329-BB55-00E2002E00B5}">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2A00FA-0031-4079-94E2-008C004300C9}">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9100F7-00F2-49C5-A954-00D0001600D6}">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D2002B-00BE-4B1C-AF57-008500C500D7}">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B900DC-00A8-43EF-84BB-00C7000D00EC}">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3" text="Ниже среднего" id="{006F008F-0096-4F99-B1A5-009C006800EB}">
            <xm:f>NOT(ISERROR(SEARCH("Ниже среднего",D9)))</xm:f>
            <x14:dxf>
              <fill>
                <patternFill patternType="solid">
                  <fgColor rgb="FFED7D31"/>
                  <bgColor rgb="FFED7D31"/>
                </patternFill>
              </fill>
            </x14:dxf>
          </x14:cfRule>
          <xm:sqref>F11</xm:sqref>
        </x14:conditionalFormatting>
        <x14:conditionalFormatting xmlns:xm="http://schemas.microsoft.com/office/excel/2006/main">
          <x14:cfRule type="containsText" priority="2" text="Низкий уровень" id="{00290003-0049-4452-8072-0051006000AC}">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3400FC-007B-4447-8BC5-004F0089000E}">
            <xm:f>NOT(ISERROR(SEARCH("Низкий уровень",D9)))</xm:f>
            <x14:dxf>
              <fill>
                <patternFill patternType="solid">
                  <fgColor indexed="2"/>
                  <bgColor indexed="2"/>
                </patternFill>
              </fill>
            </x14:dxf>
          </x14:cfRule>
          <xm:sqref>F14</xm:sqref>
        </x14:conditionalFormatting>
        <x14:conditionalFormatting xmlns:xm="http://schemas.microsoft.com/office/excel/2006/main">
          <x14:cfRule type="containsText" priority="2" text="Низкий уровень" id="{00570031-0026-436B-B10F-004A00C30088}">
            <xm:f>NOT(ISERROR(SEARCH("Низкий уровень",D9)))</xm:f>
            <x14:dxf>
              <fill>
                <patternFill patternType="solid">
                  <fgColor indexed="2"/>
                  <bgColor indexed="2"/>
                </patternFill>
              </fill>
            </x14:dxf>
          </x14:cfRule>
          <xm:sqref>F16</xm:sqref>
        </x14:conditionalFormatting>
        <x14:conditionalFormatting xmlns:xm="http://schemas.microsoft.com/office/excel/2006/main">
          <x14:cfRule type="containsText" priority="2" text="Низкий уровень" id="{00100098-004B-4B64-8D7C-00BC00CD008F}">
            <xm:f>NOT(ISERROR(SEARCH("Низкий уровень",D9)))</xm:f>
            <x14:dxf>
              <fill>
                <patternFill patternType="solid">
                  <fgColor indexed="2"/>
                  <bgColor indexed="2"/>
                </patternFill>
              </fill>
            </x14:dxf>
          </x14:cfRule>
          <xm:sqref>F16</xm:sqref>
        </x14:conditionalFormatting>
        <x14:conditionalFormatting xmlns:xm="http://schemas.microsoft.com/office/excel/2006/main">
          <x14:cfRule type="containsText" priority="2" text="Низкий уровень" id="{00400027-0086-4132-8630-008200E900AB}">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7A008A-0067-43F2-B8E8-006B0077000F}">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8A00ED-0023-48FB-A9BE-00F200D4002B}">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A00065-004A-46F5-A816-00B200A900F1}">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7D00A7-00C6-466E-8389-009E00E80034}">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A400A9-005E-4379-A7D6-00D30012003D}">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B000B7-0028-4DBF-A718-003B009C0032}">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E80067-006B-49B4-9A41-0005006A00D2}">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09003E-00F6-49CC-8870-004F00060053}">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A20026-00E1-4F6F-8C92-003800110008}">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5B00ED-0087-4189-BED9-00CF0061007D}">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B1008E-008A-485E-8945-002200F300F1}">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DB0065-00B0-4DD3-8BCE-007200DD0090}">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FC00D3-0082-4D7E-B336-005C009D00C1}">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1A00C8-0026-4929-B0F0-003900A200E3}">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050028-004E-4975-A029-00C000EB0019}">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0C00D9-00C6-4C4A-A14C-0061009A002B}">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9B00DD-0010-48B8-B1CD-003D00350063}">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5600F6-00D1-4A3D-A349-0008001600B2}">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2F0036-00F6-4B04-83A2-00CE00B600BC}">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C000E7-0006-465D-A360-002D00970091}">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E7008F-007F-4F34-8E85-00A10024003C}">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250029-00B9-4D69-991E-00C300980095}">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7E00A4-008C-43ED-987F-005600F70070}">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140040-0041-41D8-BA43-005A00D10023}">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F60081-0097-4560-A0BB-000800E10066}">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6E00BD-00F1-4DFE-A4D6-00C80044002F}">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C20054-0086-479F-9655-00E2001300E8}">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560044-0082-4AF0-96E2-004200AE0058}">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1300BA-0072-4EE3-8F6A-00F0004C0064}">
            <xm:f>NOT(ISERROR(SEARCH("Низкий уровень",D9)))</xm:f>
            <x14:dxf>
              <fill>
                <patternFill patternType="solid">
                  <fgColor indexed="2"/>
                  <bgColor indexed="2"/>
                </patternFill>
              </fill>
            </x14:dxf>
          </x14:cfRule>
          <xm:sqref>F4</xm:sqref>
        </x14:conditionalFormatting>
        <x14:conditionalFormatting xmlns:xm="http://schemas.microsoft.com/office/excel/2006/main">
          <x14:cfRule type="containsText" priority="2" text="Низкий уровень" id="{005D0022-0069-4074-8D2E-00AB008300B6}">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E300DE-0087-478B-A355-00330005007C}">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07007C-0057-4EA3-907F-001300210036}">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95009A-0086-46DE-954B-00CC006C00A3}">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2B00DB-006C-47AE-95C7-004900450009}">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CB00E0-0025-4E95-AD17-0047000E0071}">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EE00F1-006D-484B-BCF4-00F100F30046}">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4D004D-000F-4744-B4A7-007500BD00DA}">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74002E-00A6-4A03-8FB7-00CB00970055}">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E10015-0050-4B9B-BE60-0070007500B4}">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4E007D-00BD-4774-BA01-00CB00070044}">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57000C-0054-4F02-BA66-000700F3007A}">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320062-0089-4E7E-8B9B-005B00D700EB}">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67007B-0092-4E23-975F-007C00D300FF}">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7E005C-0074-4404-85B6-00F600470099}">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A300C1-0049-44B7-9196-003D00630067}">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A400D1-00F4-4FA5-BCD7-0091001C0020}">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780052-00BA-4EDF-86F9-003E004D00C7}">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230083-00E2-4EBC-91CA-008600480001}">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2A009F-004E-4809-99A0-008D00C00045}">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EC00B4-0099-4325-994F-00C80031006A}">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AD003F-0028-42AC-8E57-00D600F200E7}">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EC0051-0036-4BA7-B44A-00B200C50071}">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96002A-0088-4C2C-A699-00E800DE00F6}">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7300CA-0059-448C-80D9-00A500F200B9}">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3A00A6-0078-42C9-BE55-003900A0004C}">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8500D0-00B8-438E-A886-00670058003D}">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FA0058-00AF-4B41-BFBF-008500B90096}">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A300A0-00A2-4957-B039-00D800FE00A1}">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900045-0042-4652-A857-009C00DA0042}">
            <xm:f>NOT(ISERROR(SEARCH("Низкий уровень",D9)))</xm:f>
            <x14:dxf>
              <fill>
                <patternFill patternType="solid">
                  <fgColor indexed="2"/>
                  <bgColor indexed="2"/>
                </patternFill>
              </fill>
            </x14:dxf>
          </x14:cfRule>
          <xm:sqref>F5</xm:sqref>
        </x14:conditionalFormatting>
        <x14:conditionalFormatting xmlns:xm="http://schemas.microsoft.com/office/excel/2006/main">
          <x14:cfRule type="containsText" priority="2" text="Низкий уровень" id="{00FC00AE-0045-4D65-8322-007400AD009A}">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830039-0017-46E2-A4A8-00BE003300FE}">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F50010-0051-46B3-AD4C-00B100110015}">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88000E-0046-4AEE-A139-000100AC002B}">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C50055-005F-46C7-9D3D-00B1008200F3}">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3F00F8-003D-4C2A-9847-000400130092}">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2600F7-00BC-4CFA-8360-00AC00A9004E}">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3200DE-00B2-483E-B26F-00A400F80068}">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8200C1-00E0-41EF-9908-008B00900034}">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52005D-00EE-4103-8CC0-00F600C600F3}">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2D00B8-004A-44C5-9C49-005300090097}">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4200B3-0062-480E-86ED-0083005C0042}">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110063-0000-481E-AD2E-003E003E00F2}">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E0001B-008D-4348-9CFD-002F005A00C6}">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FC0089-002A-4FB9-92F5-0072006F0096}">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6100D6-0030-466F-A5B4-007D000D0086}">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DB009D-00A6-4215-A302-00420015006E}">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F00028-00C0-405A-A9AC-00A400CD0000}">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4A00E4-00D6-46C4-A3D7-004C009A002F}">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FF00B3-00B5-4991-8332-00DE006100E3}">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9B00BA-0029-4B9B-ACCC-008B00F500CA}">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4D0040-000C-4E1E-8FA8-00E4005E00F6}">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4600B6-001A-4863-9D17-0036008D00A7}">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13000D-004B-4549-B60B-00980094007C}">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B70077-00AC-44C1-8F8D-00F200980040}">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0F0077-0048-4A68-9893-0007005B000B}">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43007E-0030-49C7-9451-007A00AD00D5}">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A10022-005E-4E61-8C4E-0051001600C5}">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CC006F-00F5-4AC1-85E4-007D001400F6}">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9400C7-006C-45BF-AF11-00F500770050}">
            <xm:f>NOT(ISERROR(SEARCH("Низкий уровень",D9)))</xm:f>
            <x14:dxf>
              <fill>
                <patternFill patternType="solid">
                  <fgColor indexed="2"/>
                  <bgColor indexed="2"/>
                </patternFill>
              </fill>
            </x14:dxf>
          </x14:cfRule>
          <xm:sqref>F6</xm:sqref>
        </x14:conditionalFormatting>
        <x14:conditionalFormatting xmlns:xm="http://schemas.microsoft.com/office/excel/2006/main">
          <x14:cfRule type="containsText" priority="2" text="Низкий уровень" id="{00370024-004A-4F72-8515-00CC00420019}">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CA0062-0068-47D3-AE48-004600750060}">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250009-00F1-49D5-A61F-008200E0007C}">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8500BB-00A5-406B-A591-00DE00FF0068}">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310091-008A-4FD1-BB47-0066008700E7}">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BC009D-0055-453F-B4F4-00F200D70000}">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79002F-0003-4311-B983-00F9001F0035}">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9A00F2-005C-4DB3-9B99-00A1000D0002}">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E300E7-0086-49E3-B0F3-00F4005800E4}">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630059-0054-482E-AA95-00B600D9005D}">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5700FE-009D-4855-A2E0-006D00520073}">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DF00F8-00B7-40FB-8F36-00C5009F00AA}">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D000D6-007C-4572-A261-009500EC0010}">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5400E7-00C6-40E0-A087-006D008C0055}">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9C00C5-00D6-4CF2-9B10-00D800550018}">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520050-00F2-4E42-896A-00FA008A0075}">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B70021-001B-4261-9A17-004500E500DE}">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6C00DC-0022-4554-9067-003B008E00A7}">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000006-00A0-428B-9730-00DA00B40077}">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D000BE-00C2-4EF2-8B24-00710000002A}">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C600C0-0042-4A1E-AAB7-0021000300A7}">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950091-002A-441D-9EAF-004E00FB00D0}">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36006A-0004-490B-9150-00FE006B00DE}">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4500C7-0061-469D-9574-00A200DB0004}">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FB0049-000E-4D2B-A5CB-004E00E80064}">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9F00BB-00B1-48C1-817D-002000970009}">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C3005E-0073-49BE-BA4F-000900BA001C}">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C60031-0080-4C61-8905-00B90000004E}">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96008F-0092-4B8D-9B83-0049007F0069}">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7D0089-0078-4860-BF43-00BC00AF0029}">
            <xm:f>NOT(ISERROR(SEARCH("Низкий уровень",D9)))</xm:f>
            <x14:dxf>
              <fill>
                <patternFill patternType="solid">
                  <fgColor indexed="2"/>
                  <bgColor indexed="2"/>
                </patternFill>
              </fill>
            </x14:dxf>
          </x14:cfRule>
          <xm:sqref>F7</xm:sqref>
        </x14:conditionalFormatting>
        <x14:conditionalFormatting xmlns:xm="http://schemas.microsoft.com/office/excel/2006/main">
          <x14:cfRule type="containsText" priority="2" text="Низкий уровень" id="{005400B3-0003-4D05-AF90-00A500920032}">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56002B-0071-46ED-8540-0040006D0003}">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2F0013-007A-4E06-BABB-00EA007400F0}">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790007-00A2-4747-8367-001900CF0029}">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B2008E-001D-4CAF-AEE8-006A00AC0035}">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2F00CE-0042-433F-A648-001700CE008A}">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5C00EB-00BF-4A33-A0BF-00AC00B900B6}">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DC0050-00ED-4DA7-A423-00E60004008F}">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6200FB-00A5-4FD7-8CFA-001600BA0099}">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0B00E2-00A8-4855-963B-00DA00120073}">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DD00F1-00B3-464E-B71B-00C8008F0061}">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5E003B-0004-4AC5-BC0B-00B400D700B8}">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6A00F7-00A2-40F6-8472-00A7005100BE}">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DB0015-00FF-437A-8ED4-001D00D100B4}">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4800BA-0061-4D90-B3C8-007000DD008E}">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30005C-00E2-4272-84A0-00A7006E0038}">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590094-00BD-42A5-A2EC-00C600030034}">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3F00E4-0078-4EB1-9A7D-006300B1008F}">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EE002E-00D7-4AB5-A61C-001C00540055}">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EC00E8-0047-4EB8-BAB0-00EB00D50045}">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FB0049-00AB-4B6C-80A5-001600AE004A}">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79004D-00E8-4C24-9F52-000400AC005C}">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8600E0-008C-4C40-8BEA-005E0069003D}">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5E0006-0026-4E13-AF0B-003E00CC0062}">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24003C-0096-47C7-B913-004D001C00D5}">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6500DF-007E-4A28-93B5-003100400042}">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2C00AE-0038-43CA-97D7-0058003E00E8}">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E80076-004C-4513-8A96-004600EC0004}">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9C0054-0065-4F5A-8067-002900C30069}">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EC0033-00E2-4104-A61E-0003008600A5}">
            <xm:f>NOT(ISERROR(SEARCH("Низкий уровень",D9)))</xm:f>
            <x14:dxf>
              <fill>
                <patternFill patternType="solid">
                  <fgColor indexed="2"/>
                  <bgColor indexed="2"/>
                </patternFill>
              </fill>
            </x14:dxf>
          </x14:cfRule>
          <xm:sqref>F8</xm:sqref>
        </x14:conditionalFormatting>
        <x14:conditionalFormatting xmlns:xm="http://schemas.microsoft.com/office/excel/2006/main">
          <x14:cfRule type="containsText" priority="2" text="Низкий уровень" id="{00C80017-00C3-42C3-AB87-0015008B0020}">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1300AB-0056-4AAA-ACEF-00E0005E00B0}">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DE0010-0098-4A39-BD49-004400D40019}">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16000F-00DE-42F5-A051-00AB0013001E}">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9800F5-0018-4BE8-9E6C-000100240069}">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440034-0006-4A2B-A636-005B00D50076}">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2F00F1-00C8-4F11-A5A2-00B8007800DA}">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E400E6-0062-4B7B-A54B-0052009C00DB}">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760006-0006-4300-B685-001100E70086}">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41004B-00CC-4267-96EB-0097006100DB}">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A60085-0045-4ECB-9093-005400030044}">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C00041-005D-4339-8453-007600D700E2}">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3500BB-0035-4859-822A-002E00530044}">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63003F-0086-4D1E-9394-003B00520096}">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BB00FA-003D-4CD9-B796-00B800940089}">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12000E-005A-46CE-A95B-001800710015}">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08003B-0012-4172-8C8E-0057003D00AD}">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8700E6-0046-4DFD-90FC-000600770064}">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F1006F-00D6-4BDC-9CBD-00DB009E00DA}">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8E0027-004E-49E1-9EBF-003F00870047}">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F50005-00D0-4290-AB03-0095007E008B}">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2C00CC-005E-4C52-B3E5-0078000C0047}">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C400C9-004E-4A7D-A541-00DF00A700FC}">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E20046-0001-4957-BA27-00D9000900D6}">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F30005-00E4-42AB-BD0D-00DF00DB007F}">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D7006E-0004-4BDB-80DC-0038007D00F0}">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7200ED-0079-4C9C-8BD2-00B0004E00AB}">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4700BB-0070-45C8-A7C6-002A00C70082}">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6F00E9-005C-4B7F-AE2B-0057009A004B}">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2" text="Низкий уровень" id="{00D1008C-0020-4325-B599-00B2002100D9}">
            <xm:f>NOT(ISERROR(SEARCH("Низкий уровень",D9)))</xm:f>
            <x14:dxf>
              <fill>
                <patternFill patternType="solid">
                  <fgColor indexed="2"/>
                  <bgColor indexed="2"/>
                </patternFill>
              </fill>
            </x14:dxf>
          </x14:cfRule>
          <xm:sqref>F11</xm:sqref>
        </x14:conditionalFormatting>
        <x14:conditionalFormatting xmlns:xm="http://schemas.microsoft.com/office/excel/2006/main">
          <x14:cfRule type="containsText" priority="1" text="Невозможно измерить" id="{0038007D-00E7-4CB5-AD3A-00FA003C006E}">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6200BE-00CD-4017-96AD-001100A700AE}">
            <xm:f>NOT(ISERROR(SEARCH("Невозможно измерить",D9)))</xm:f>
            <x14:dxf>
              <fill>
                <patternFill patternType="solid">
                  <fgColor rgb="FF7F7F7F"/>
                  <bgColor rgb="FF7F7F7F"/>
                </patternFill>
              </fill>
            </x14:dxf>
          </x14:cfRule>
          <xm:sqref>F14</xm:sqref>
        </x14:conditionalFormatting>
        <x14:conditionalFormatting xmlns:xm="http://schemas.microsoft.com/office/excel/2006/main">
          <x14:cfRule type="containsText" priority="1" text="Невозможно измерить" id="{004B0056-0042-4372-81D7-005900150067}">
            <xm:f>NOT(ISERROR(SEARCH("Невозможно измерить",D9)))</xm:f>
            <x14:dxf>
              <fill>
                <patternFill patternType="solid">
                  <fgColor rgb="FF7F7F7F"/>
                  <bgColor rgb="FF7F7F7F"/>
                </patternFill>
              </fill>
            </x14:dxf>
          </x14:cfRule>
          <xm:sqref>F16</xm:sqref>
        </x14:conditionalFormatting>
        <x14:conditionalFormatting xmlns:xm="http://schemas.microsoft.com/office/excel/2006/main">
          <x14:cfRule type="containsText" priority="1" text="Невозможно измерить" id="{0097005A-008C-4F28-81D4-000000080064}">
            <xm:f>NOT(ISERROR(SEARCH("Невозможно измерить",D9)))</xm:f>
            <x14:dxf>
              <fill>
                <patternFill patternType="solid">
                  <fgColor rgb="FF7F7F7F"/>
                  <bgColor rgb="FF7F7F7F"/>
                </patternFill>
              </fill>
            </x14:dxf>
          </x14:cfRule>
          <xm:sqref>F16</xm:sqref>
        </x14:conditionalFormatting>
        <x14:conditionalFormatting xmlns:xm="http://schemas.microsoft.com/office/excel/2006/main">
          <x14:cfRule type="containsText" priority="1" text="Невозможно измерить" id="{00EA00B5-001F-4E3C-BD04-00A2005400C8}">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FB0041-001F-4A94-B301-006100C700C7}">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4000F2-0038-46DC-8653-00E2009A0034}">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4600FF-0024-4B7E-8C80-00CA00F20040}">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88009F-0079-4CC1-A560-00C300A10079}">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5400CF-00A7-411F-8691-006600000040}">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29005E-00EC-4DE9-A275-00FA00B10041}">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C600A2-0091-434D-A4EE-0092002800DE}">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1F007C-001A-4FDF-A374-007B00660033}">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CB008E-00C2-448A-8960-00F300E2001B}">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540087-0048-4475-8A06-00E900890074}">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DD0083-0053-4EAA-B67C-00B000190070}">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3400B7-004D-4519-9558-00D100FE00B9}">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E00085-00FD-426C-BEAF-006E00AA0030}">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27004F-00C5-4AB7-833C-003E006F0086}">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0C0066-0068-4153-936F-00E5000000DE}">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B500B4-005B-4885-8DF3-00A400370067}">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A50052-00F4-401F-88B3-006F00220005}">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330042-00F0-4255-BBA3-00A100900063}">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F6004F-0021-4D8F-9E63-00BB002700F0}">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530093-002A-434E-A7F5-007600F30059}">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5A0012-0017-4EF6-9E57-00C50002004D}">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94002F-00B6-42A3-BFA1-007400B300A7}">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650063-0027-450C-9155-00D700EA00DD}">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5100BC-00D6-4A04-8034-004300DA001A}">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3F0028-00D0-4B98-9DAD-00BE008100D8}">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3100BA-006A-4353-BA73-003B009D0083}">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D300C6-0001-42B9-ACEB-009E00920055}">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B70031-00F9-43DF-B15B-003C000900DB}">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420052-00AE-4BBF-AFAE-008500EF007A}">
            <xm:f>NOT(ISERROR(SEARCH("Невозможно измерить",D9)))</xm:f>
            <x14:dxf>
              <fill>
                <patternFill patternType="solid">
                  <fgColor rgb="FF7F7F7F"/>
                  <bgColor rgb="FF7F7F7F"/>
                </patternFill>
              </fill>
            </x14:dxf>
          </x14:cfRule>
          <xm:sqref>F4</xm:sqref>
        </x14:conditionalFormatting>
        <x14:conditionalFormatting xmlns:xm="http://schemas.microsoft.com/office/excel/2006/main">
          <x14:cfRule type="containsText" priority="1" text="Невозможно измерить" id="{004D00CF-0023-4AF8-876E-0069008E004B}">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4A0042-0074-406F-BB5A-00AE006D00B5}">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F20013-005C-4477-B1D7-002A007E007D}">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92004D-0057-4547-B403-00050099004B}">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8F002B-0000-45DA-8D75-003000B600E5}">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CC0027-0040-464E-B224-00FE00DA006D}">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F90028-003C-49AD-8DED-0028005100BE}">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6A00AE-0051-4384-AD3F-0004002D00D5}">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4C0071-0073-4DDE-AE0C-004800DE0008}">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6E0068-004F-49AF-B58A-0028006F004D}">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A10047-00CC-49CC-A520-00A4009000A1}">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A500E7-006B-479D-95DE-00BD004B00F9}">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F00074-00F8-46A3-8D73-0087002F004A}">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8D0085-00F4-49EC-9A95-008C009D0068}">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EE00F3-0023-46F5-8762-00DC00290085}">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6600B1-0053-4C1C-BFB8-006C00B0006F}">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980016-0003-4C30-B051-008E00380083}">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1C001A-0035-4697-8429-00B000A300A0}">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880043-0061-4C19-B78E-006E00F6005F}">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850093-0045-4802-AF06-009400AF0011}">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C50046-00C2-4F25-8A1C-00AB0022007D}">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8B0019-006B-482C-93E6-005100F60065}">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F90003-0022-45E8-8936-00DF00870061}">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5B0059-00BA-42DD-9F3C-0027009800D1}">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2C00C6-004F-4FC7-9CCC-0009000500DC}">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E500FD-0041-4983-96D5-002800180046}">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D000AA-0063-4EFF-8F8E-006000DC00C8}">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680034-00FE-4E8B-9C93-00A400D100FB}">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D200F6-0030-4A8C-AEF9-0069003D0003}">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2800B0-0041-4460-945A-0044001E0048}">
            <xm:f>NOT(ISERROR(SEARCH("Невозможно измерить",D9)))</xm:f>
            <x14:dxf>
              <fill>
                <patternFill patternType="solid">
                  <fgColor rgb="FF7F7F7F"/>
                  <bgColor rgb="FF7F7F7F"/>
                </patternFill>
              </fill>
            </x14:dxf>
          </x14:cfRule>
          <xm:sqref>F5</xm:sqref>
        </x14:conditionalFormatting>
        <x14:conditionalFormatting xmlns:xm="http://schemas.microsoft.com/office/excel/2006/main">
          <x14:cfRule type="containsText" priority="1" text="Невозможно измерить" id="{006F00ED-0083-4F74-BE75-00D90010001E}">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930047-007C-4890-928D-004800920054}">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290018-0053-4BE1-A645-005D00B100B9}">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BC00FA-00A5-409E-9607-00F4005D0071}">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AA0099-00C7-4156-8462-00D900D300B5}">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17007C-00D1-485E-BBB1-008900E10059}">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9D008C-0076-432C-A8E4-005D00D90082}">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DB002E-0069-4F25-9ADA-006F008000D3}">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27003C-009D-43CE-B38D-00040007003C}">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1800F4-008C-4196-858F-001000C5007F}">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9B002F-0007-42C8-A5BE-007B00520065}">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430088-003A-4C07-945A-000C009E0088}">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A90038-0011-472A-B758-00D5008D0042}">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3A0085-007B-43D5-ACE3-0086004800D6}">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900030-00FB-4708-BEF7-00CC000100CD}">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B900E3-00C6-4677-B842-003E003C0099}">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9F0027-0001-40C9-A415-00C900B80053}">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F60059-0092-4429-95DA-000C00AE004A}">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B9002C-00BB-4A20-988E-008B00250093}">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840027-003C-4930-9E03-0059006A00F7}">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3C005D-0029-4AF2-920E-000200F100F4}">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8E00F6-00B5-49FB-862E-005B006900D7}">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3400B4-0056-443C-9B65-002A008100DA}">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3F0074-00CA-444A-B2EB-00A2000E00C0}">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7700EA-0059-40A0-BB2E-00FC007600BB}">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D5004D-006E-44FA-B98D-0078004500C3}">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8D0060-0084-4CCD-AA93-00D0007700F0}">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88001C-00F2-42CD-9A92-007D00030092}">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350080-001F-4672-9463-003500180068}">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560034-0040-4266-86E4-00F300F80065}">
            <xm:f>NOT(ISERROR(SEARCH("Невозможно измерить",D9)))</xm:f>
            <x14:dxf>
              <fill>
                <patternFill patternType="solid">
                  <fgColor rgb="FF7F7F7F"/>
                  <bgColor rgb="FF7F7F7F"/>
                </patternFill>
              </fill>
            </x14:dxf>
          </x14:cfRule>
          <xm:sqref>F6</xm:sqref>
        </x14:conditionalFormatting>
        <x14:conditionalFormatting xmlns:xm="http://schemas.microsoft.com/office/excel/2006/main">
          <x14:cfRule type="containsText" priority="1" text="Невозможно измерить" id="{001B0011-00E3-4E89-A147-0083000400B7}">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E9003B-0014-4B81-8CDC-00F8008F00E6}">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F500D4-0072-4F90-9410-00F20071002D}">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BF0027-0089-4B08-9244-005500C7006A}">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740032-0055-4C8D-B478-004400AA008E}">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6C004F-0063-403F-95A9-0027002B00E4}">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1D005A-00DF-4BB3-BAA0-000B004100D4}">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C6006E-0014-4B38-98E3-00ED00AF00A7}">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EC00C0-0010-4408-AEAC-00DD00B200BE}">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1E00E7-00A1-404A-8E0B-005200E7003B}">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7900B2-00DD-4ED2-8ACB-008300F200E2}">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72008B-0096-4CB4-B88B-0028009F008C}">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B3003D-007E-4178-9A43-00BE00680049}">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1200CF-0015-4E30-9C8D-002E008F0066}">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BB0052-0059-422F-BB6F-00A700520007}">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5A001F-000A-4511-8C68-007F007A00F9}">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C2009F-00E8-4D5C-8DF2-00AB00DE0073}">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E900BB-0042-49E2-B740-007300CD0078}">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B5007E-0015-4ABC-8151-00C300620094}">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7B00FB-0081-4B08-A2C9-006200FD0090}">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06007E-0005-4F8E-860C-006600A6005F}">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C7009E-006A-4033-A194-00AF00F100D2}">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06003D-0008-4C76-8072-008A006100CC}">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800089-00A2-4321-820B-00A7009F0006}">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C700DD-00BB-48F5-9F03-003C00EF0048}">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C300A7-001A-40F6-830B-007C008C00AC}">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4000F8-0089-493A-AFD6-004B0032007B}">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8A00CA-00D7-4742-8AB7-004E009F0028}">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6E0083-003F-46C1-998E-0061000600C7}">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940085-00F5-4219-B1E0-004E00FF00CB}">
            <xm:f>NOT(ISERROR(SEARCH("Невозможно измерить",D9)))</xm:f>
            <x14:dxf>
              <fill>
                <patternFill patternType="solid">
                  <fgColor rgb="FF7F7F7F"/>
                  <bgColor rgb="FF7F7F7F"/>
                </patternFill>
              </fill>
            </x14:dxf>
          </x14:cfRule>
          <xm:sqref>F7</xm:sqref>
        </x14:conditionalFormatting>
        <x14:conditionalFormatting xmlns:xm="http://schemas.microsoft.com/office/excel/2006/main">
          <x14:cfRule type="containsText" priority="1" text="Невозможно измерить" id="{008200A2-007E-4F59-9CC2-008600D00027}">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8F00EA-0095-46C8-8A7D-00CB00F1001D}">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5600CB-00CF-408A-9297-004B004B009C}">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36007C-009D-490F-9D13-0018001900CE}">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9E0049-003B-4280-9382-00980002006D}">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460084-00E7-4AAA-96AC-00FD0014002C}">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6D0013-006F-4E9E-A6B4-00A300CF0033}">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3600CE-00D1-41C8-822C-0055002B0088}">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CD00F2-0046-45A1-8C30-00FD006600D4}">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0A004A-0046-4ED7-906C-00C200F0005A}">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E50021-00DB-4D5D-B33F-00C800EE0015}">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1B0005-004B-4D47-8E93-007D00760007}">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A30020-0062-4D48-82E0-0070000200B1}">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3E0034-00F2-4928-A27D-00A700E20052}">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DF0022-0013-49D8-9D1A-00F200FC00E0}">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9C00EC-00B4-4FEA-B8D0-00AE009F0089}">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1100A2-000F-4CBE-8E04-00EF005C00B6}">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1B0058-006F-4F3B-92F4-003B004900F2}">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E60023-007B-465D-8B81-0058004A006C}">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3C00A1-00A3-4885-AAE4-00B700D1001A}">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9100CE-00DD-429F-BF96-003B009000FF}">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E5007D-0004-4F79-94BD-00AC00090026}">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6B0093-004C-4D51-9451-002900D6004F}">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EC00DF-0011-46ED-A736-0070004A001D}">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1D00D2-0078-46F7-AA3D-00A9001A00A1}">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D200DF-00FD-4B83-BFCC-007F007E0081}">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72008F-0011-4654-9914-007E000800D3}">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B30034-00F4-4911-B63B-00150000005B}">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D70022-00C6-4C56-8FB4-00F400DE000E}">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72009A-00B1-419F-A6E8-00D200A20045}">
            <xm:f>NOT(ISERROR(SEARCH("Невозможно измерить",D9)))</xm:f>
            <x14:dxf>
              <fill>
                <patternFill patternType="solid">
                  <fgColor rgb="FF7F7F7F"/>
                  <bgColor rgb="FF7F7F7F"/>
                </patternFill>
              </fill>
            </x14:dxf>
          </x14:cfRule>
          <xm:sqref>F8</xm:sqref>
        </x14:conditionalFormatting>
        <x14:conditionalFormatting xmlns:xm="http://schemas.microsoft.com/office/excel/2006/main">
          <x14:cfRule type="containsText" priority="1" text="Невозможно измерить" id="{00850080-0025-4C2A-B7E8-0096001800BA}">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9700EA-0002-4889-9F1E-00CE00950025}">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E9000E-00BF-49A4-B272-009C00DE00E0}">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4B0072-004B-4091-A369-00B100E00061}">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530013-00DA-432D-91B4-005A00080064}">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C40091-0074-47E4-8A0F-008A00E10070}">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4D00E0-0009-4BEC-9659-00FB002D0052}">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4100C6-00BF-41DD-A4E4-004D009100E9}">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6A0048-00E2-44FA-B938-00CF002000C7}">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98006C-00F5-4D46-9CBA-006400D200C4}">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59005C-006E-4870-96AA-008E00670022}">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31001E-009A-4969-8B59-00D400AA0000}">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93001F-006E-4FCF-9860-002600ED00BA}">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9A001E-00A8-4378-B916-003B00830040}">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1B00D9-0006-491B-A74F-00A900AC000F}">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01004A-0016-4E47-A8DF-00F800AD00B0}">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1E0066-00D5-4CDE-98B8-00B600700003}">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59006A-00C2-4949-A781-00A400A10058}">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CA00A5-00B2-4C1A-A407-00D90014006F}">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B600A9-002E-41B3-824B-00E3009D0060}">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8C009B-00EE-4434-B844-0088005F009E}">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710032-00C6-4902-B2EC-005C00400090}">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1E00BE-00A0-4DBE-A469-00FB000B00DA}">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6E00A6-006E-40D0-8D71-00C500A2003D}">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AD008D-0087-421D-8FB9-00EB002F00CD}">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8A003B-00B9-44B0-90B0-008700E900C7}">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1400A1-003D-42D7-9ECC-007F003600C5}">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A2001E-00AB-43D5-AF48-0005006600DF}">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5700A5-0031-4690-A521-00A4000900DA}">
            <xm:f>NOT(ISERROR(SEARCH("Невозможно измерить",D9)))</xm:f>
            <x14:dxf>
              <fill>
                <patternFill patternType="solid">
                  <fgColor rgb="FF7F7F7F"/>
                  <bgColor rgb="FF7F7F7F"/>
                </patternFill>
              </fill>
            </x14:dxf>
          </x14:cfRule>
          <xm:sqref>F11</xm:sqref>
        </x14:conditionalFormatting>
        <x14:conditionalFormatting xmlns:xm="http://schemas.microsoft.com/office/excel/2006/main">
          <x14:cfRule type="containsText" priority="1" text="Невозможно измерить" id="{00AB0055-005C-42E6-8914-0021002C001B}">
            <xm:f>NOT(ISERROR(SEARCH("Невозможно измерить",D9)))</xm:f>
            <x14:dxf>
              <fill>
                <patternFill patternType="solid">
                  <fgColor rgb="FF7F7F7F"/>
                  <bgColor rgb="FF7F7F7F"/>
                </patternFill>
              </fill>
            </x14:dxf>
          </x14:cfRule>
          <xm:sqref>F11</xm:sqref>
        </x14:conditionalFormatting>
      </x14:conditionalFormatting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8" zoomScale="100" workbookViewId="0">
      <selection activeCell="A1" activeCellId="0" sqref="A1"/>
    </sheetView>
  </sheetViews>
  <sheetFormatPr defaultRowHeight="14.25"/>
  <cols>
    <col customWidth="1" min="1" max="1" width="33.00390625"/>
    <col customWidth="1" min="2" max="2" width="22.00390625"/>
    <col customWidth="1" min="3" max="3" width="4.8515625"/>
    <col customWidth="1" min="4" max="4" width="22.8515625"/>
    <col min="5" max="5" style="780" width="9.140625"/>
    <col customWidth="1" min="6" max="6" style="781" width="13.7109375"/>
    <col customWidth="1" min="7" max="7" width="113.28125"/>
    <col customWidth="1" min="8" max="8" style="102" width="9.421875"/>
    <col customWidth="1" min="9" max="9" width="22.140625"/>
    <col customWidth="1" min="10" max="10" width="46.7109375"/>
  </cols>
  <sheetData>
    <row r="1" ht="15">
      <c r="A1" s="633" t="s">
        <v>153</v>
      </c>
      <c r="B1" s="614"/>
      <c r="C1" s="614"/>
      <c r="D1" s="614"/>
      <c r="E1" s="782"/>
      <c r="F1" s="783"/>
      <c r="G1" s="614"/>
      <c r="H1" s="784"/>
      <c r="I1" s="614"/>
    </row>
    <row r="2" ht="28.5">
      <c r="A2" s="785" t="s">
        <v>154</v>
      </c>
      <c r="B2" s="785" t="s">
        <v>127</v>
      </c>
      <c r="C2" s="785" t="s">
        <v>5</v>
      </c>
      <c r="D2" s="388" t="s">
        <v>155</v>
      </c>
      <c r="E2" s="786" t="s">
        <v>8</v>
      </c>
      <c r="F2" s="787"/>
      <c r="G2" s="388" t="s">
        <v>156</v>
      </c>
      <c r="H2" s="388" t="s">
        <v>230</v>
      </c>
      <c r="I2" s="388" t="s">
        <v>158</v>
      </c>
    </row>
    <row r="3" ht="49.5" customHeight="1">
      <c r="A3" s="788" t="s">
        <v>842</v>
      </c>
      <c r="B3" s="789" t="s">
        <v>843</v>
      </c>
      <c r="C3" s="671">
        <v>1</v>
      </c>
      <c r="D3" s="347" t="s">
        <v>29</v>
      </c>
      <c r="E3" s="790">
        <v>1</v>
      </c>
      <c r="F3" s="607" t="s">
        <v>30</v>
      </c>
      <c r="G3" s="347" t="s">
        <v>844</v>
      </c>
      <c r="H3" s="292" t="s">
        <v>14</v>
      </c>
      <c r="I3" s="147" t="s">
        <v>15</v>
      </c>
    </row>
    <row r="4" ht="42.75">
      <c r="A4" s="791"/>
      <c r="B4" s="792"/>
      <c r="C4" s="671">
        <v>2</v>
      </c>
      <c r="D4" s="347" t="s">
        <v>26</v>
      </c>
      <c r="E4" s="790">
        <v>1</v>
      </c>
      <c r="F4" s="607" t="s">
        <v>30</v>
      </c>
      <c r="G4" s="347" t="s">
        <v>845</v>
      </c>
      <c r="H4" s="292" t="s">
        <v>14</v>
      </c>
      <c r="I4" s="147" t="s">
        <v>15</v>
      </c>
    </row>
    <row r="5" ht="57">
      <c r="A5" s="791"/>
      <c r="B5" s="792"/>
      <c r="C5" s="671">
        <v>3</v>
      </c>
      <c r="D5" s="347" t="s">
        <v>12</v>
      </c>
      <c r="E5" s="793">
        <v>0</v>
      </c>
      <c r="F5" s="341" t="s">
        <v>161</v>
      </c>
      <c r="G5" s="347" t="s">
        <v>846</v>
      </c>
      <c r="H5" s="292" t="s">
        <v>14</v>
      </c>
      <c r="I5" s="147" t="s">
        <v>15</v>
      </c>
    </row>
    <row r="6" ht="141" customHeight="1">
      <c r="A6" s="791"/>
      <c r="B6" s="792"/>
      <c r="C6" s="671">
        <v>4</v>
      </c>
      <c r="D6" s="260" t="s">
        <v>20</v>
      </c>
      <c r="E6" s="793">
        <v>0</v>
      </c>
      <c r="F6" s="341" t="s">
        <v>161</v>
      </c>
      <c r="G6" s="347" t="s">
        <v>847</v>
      </c>
      <c r="H6" s="292" t="s">
        <v>14</v>
      </c>
      <c r="I6" s="147" t="s">
        <v>15</v>
      </c>
      <c r="J6" s="730"/>
    </row>
    <row r="7" ht="42.75">
      <c r="A7" s="791"/>
      <c r="B7" s="792"/>
      <c r="C7" s="671">
        <v>5</v>
      </c>
      <c r="D7" s="27" t="s">
        <v>23</v>
      </c>
      <c r="E7" s="790">
        <v>1</v>
      </c>
      <c r="F7" s="607" t="s">
        <v>30</v>
      </c>
      <c r="G7" s="347" t="s">
        <v>848</v>
      </c>
      <c r="H7" s="292" t="s">
        <v>14</v>
      </c>
      <c r="I7" s="147" t="s">
        <v>15</v>
      </c>
      <c r="J7" s="730"/>
    </row>
    <row r="8" ht="57">
      <c r="A8" s="791"/>
      <c r="B8" s="792"/>
      <c r="C8" s="671">
        <v>6</v>
      </c>
      <c r="D8" s="347" t="s">
        <v>22</v>
      </c>
      <c r="E8" s="790">
        <v>1</v>
      </c>
      <c r="F8" s="607" t="s">
        <v>30</v>
      </c>
      <c r="G8" s="347" t="s">
        <v>849</v>
      </c>
      <c r="H8" s="292" t="s">
        <v>14</v>
      </c>
      <c r="I8" s="147" t="s">
        <v>15</v>
      </c>
    </row>
    <row r="9" ht="99.75">
      <c r="A9" s="791"/>
      <c r="B9" s="792"/>
      <c r="C9" s="671">
        <v>7</v>
      </c>
      <c r="D9" s="347" t="s">
        <v>19</v>
      </c>
      <c r="E9" s="793">
        <v>0</v>
      </c>
      <c r="F9" s="341" t="s">
        <v>161</v>
      </c>
      <c r="G9" s="347" t="s">
        <v>850</v>
      </c>
      <c r="H9" s="292" t="s">
        <v>14</v>
      </c>
      <c r="I9" s="18" t="s">
        <v>15</v>
      </c>
    </row>
    <row r="10" ht="57">
      <c r="A10" s="791"/>
      <c r="B10" s="792"/>
      <c r="C10" s="671">
        <v>8</v>
      </c>
      <c r="D10" s="347" t="s">
        <v>32</v>
      </c>
      <c r="E10" s="790">
        <v>1</v>
      </c>
      <c r="F10" s="607" t="s">
        <v>30</v>
      </c>
      <c r="G10" s="260" t="s">
        <v>851</v>
      </c>
      <c r="H10" s="229" t="s">
        <v>168</v>
      </c>
      <c r="I10" s="147" t="s">
        <v>15</v>
      </c>
      <c r="J10" s="337"/>
    </row>
    <row r="11" ht="57">
      <c r="A11" s="794"/>
      <c r="B11" s="795"/>
      <c r="C11" s="671">
        <v>9</v>
      </c>
      <c r="D11" s="347" t="s">
        <v>17</v>
      </c>
      <c r="E11" s="790">
        <v>1</v>
      </c>
      <c r="F11" s="607" t="s">
        <v>30</v>
      </c>
      <c r="G11" s="260" t="s">
        <v>852</v>
      </c>
      <c r="H11" s="292" t="s">
        <v>14</v>
      </c>
      <c r="I11" s="147" t="s">
        <v>15</v>
      </c>
      <c r="J11" s="337"/>
    </row>
    <row r="12" ht="14.25">
      <c r="A12" s="105"/>
      <c r="B12" s="105"/>
      <c r="C12" s="105"/>
      <c r="D12" s="105"/>
      <c r="E12" s="105">
        <f>(E3+E5+E6+E7+E8+E9+E10+E11)*9</f>
        <v>45</v>
      </c>
      <c r="F12" s="796"/>
      <c r="G12" s="105"/>
      <c r="H12" s="796"/>
      <c r="I12" s="105"/>
    </row>
    <row r="13" ht="17.25">
      <c r="A13" s="570" t="s">
        <v>193</v>
      </c>
      <c r="B13" s="570"/>
      <c r="C13" s="570"/>
      <c r="D13" s="570"/>
      <c r="E13" s="570"/>
      <c r="F13" s="570"/>
      <c r="G13" s="570"/>
      <c r="H13" s="570"/>
      <c r="I13" s="570"/>
    </row>
    <row r="14" ht="14.25">
      <c r="A14" s="105"/>
      <c r="B14" s="105"/>
      <c r="C14" s="105"/>
      <c r="D14" s="105"/>
      <c r="E14" s="105"/>
      <c r="F14" s="796"/>
      <c r="G14" s="105"/>
      <c r="H14" s="796"/>
      <c r="I14" s="105"/>
    </row>
    <row r="15" ht="57.75" customHeight="1">
      <c r="A15" s="176" t="s">
        <v>853</v>
      </c>
      <c r="B15" s="168" t="s">
        <v>854</v>
      </c>
      <c r="C15" s="169"/>
      <c r="D15" s="170"/>
      <c r="E15" s="387">
        <v>0.45000000000000001</v>
      </c>
      <c r="F15" s="797" t="s">
        <v>24</v>
      </c>
      <c r="G15" s="85" t="s">
        <v>855</v>
      </c>
      <c r="H15" s="86"/>
      <c r="I15" s="87"/>
      <c r="J15" s="12"/>
    </row>
    <row r="16" ht="14.25">
      <c r="E16" s="780"/>
      <c r="F16" s="781"/>
      <c r="H16" s="102"/>
    </row>
    <row r="17" ht="15">
      <c r="A17" s="633" t="s">
        <v>287</v>
      </c>
      <c r="B17" s="614"/>
      <c r="C17" s="614"/>
      <c r="D17" s="614"/>
      <c r="E17" s="782"/>
      <c r="F17" s="783"/>
      <c r="G17" s="614"/>
      <c r="H17" s="784"/>
      <c r="I17" s="614"/>
    </row>
    <row r="18" ht="28.5">
      <c r="A18" s="785" t="s">
        <v>154</v>
      </c>
      <c r="B18" s="785" t="s">
        <v>127</v>
      </c>
      <c r="C18" s="785" t="s">
        <v>5</v>
      </c>
      <c r="D18" s="388" t="s">
        <v>155</v>
      </c>
      <c r="E18" s="786" t="s">
        <v>8</v>
      </c>
      <c r="F18" s="787"/>
      <c r="G18" s="388" t="s">
        <v>156</v>
      </c>
      <c r="H18" s="388" t="s">
        <v>230</v>
      </c>
      <c r="I18" s="388" t="s">
        <v>158</v>
      </c>
    </row>
    <row r="19" ht="57">
      <c r="A19" s="798" t="s">
        <v>842</v>
      </c>
      <c r="B19" s="798" t="s">
        <v>843</v>
      </c>
      <c r="C19" s="671">
        <v>1</v>
      </c>
      <c r="D19" s="347" t="s">
        <v>173</v>
      </c>
      <c r="E19" s="790">
        <v>1</v>
      </c>
      <c r="F19" s="607" t="s">
        <v>30</v>
      </c>
      <c r="G19" s="347" t="s">
        <v>856</v>
      </c>
      <c r="H19" s="147" t="s">
        <v>62</v>
      </c>
      <c r="I19" s="261" t="s">
        <v>66</v>
      </c>
    </row>
    <row r="20" ht="85.5">
      <c r="A20" s="798"/>
      <c r="B20" s="798"/>
      <c r="C20" s="671">
        <v>2</v>
      </c>
      <c r="D20" s="347" t="s">
        <v>211</v>
      </c>
      <c r="E20" s="790">
        <v>1</v>
      </c>
      <c r="F20" s="607" t="s">
        <v>30</v>
      </c>
      <c r="G20" s="347" t="s">
        <v>857</v>
      </c>
      <c r="H20" s="147" t="s">
        <v>62</v>
      </c>
      <c r="I20" s="261" t="s">
        <v>66</v>
      </c>
    </row>
    <row r="21" ht="57">
      <c r="A21" s="798"/>
      <c r="B21" s="798"/>
      <c r="C21" s="671">
        <v>3</v>
      </c>
      <c r="D21" s="347" t="s">
        <v>104</v>
      </c>
      <c r="E21" s="790">
        <v>1</v>
      </c>
      <c r="F21" s="607" t="s">
        <v>30</v>
      </c>
      <c r="G21" s="347" t="s">
        <v>844</v>
      </c>
      <c r="H21" s="19" t="s">
        <v>62</v>
      </c>
      <c r="I21" s="261" t="s">
        <v>63</v>
      </c>
    </row>
    <row r="22" ht="98.25" customHeight="1">
      <c r="A22" s="798"/>
      <c r="B22" s="798"/>
      <c r="C22" s="671">
        <v>4</v>
      </c>
      <c r="D22" s="347" t="s">
        <v>94</v>
      </c>
      <c r="E22" s="790">
        <v>1</v>
      </c>
      <c r="F22" s="607" t="s">
        <v>30</v>
      </c>
      <c r="G22" s="347" t="s">
        <v>858</v>
      </c>
      <c r="H22" s="19" t="s">
        <v>62</v>
      </c>
      <c r="I22" s="265" t="s">
        <v>66</v>
      </c>
    </row>
    <row r="23" ht="42.75">
      <c r="A23" s="798"/>
      <c r="B23" s="798"/>
      <c r="C23" s="671">
        <v>5</v>
      </c>
      <c r="D23" s="261" t="s">
        <v>65</v>
      </c>
      <c r="E23" s="793">
        <v>0</v>
      </c>
      <c r="F23" s="341" t="s">
        <v>161</v>
      </c>
      <c r="G23" s="347" t="s">
        <v>859</v>
      </c>
      <c r="H23" s="19" t="s">
        <v>62</v>
      </c>
      <c r="I23" s="229" t="s">
        <v>66</v>
      </c>
    </row>
    <row r="24" ht="42.75">
      <c r="A24" s="798"/>
      <c r="B24" s="798"/>
      <c r="C24" s="671">
        <v>6</v>
      </c>
      <c r="D24" s="347" t="s">
        <v>79</v>
      </c>
      <c r="E24" s="793">
        <v>0</v>
      </c>
      <c r="F24" s="341" t="s">
        <v>161</v>
      </c>
      <c r="G24" s="347" t="s">
        <v>860</v>
      </c>
      <c r="H24" s="19" t="s">
        <v>62</v>
      </c>
      <c r="I24" s="243" t="s">
        <v>63</v>
      </c>
    </row>
    <row r="25" ht="42.75">
      <c r="A25" s="798"/>
      <c r="B25" s="798"/>
      <c r="C25" s="671">
        <v>7</v>
      </c>
      <c r="D25" s="347" t="s">
        <v>100</v>
      </c>
      <c r="E25" s="790">
        <v>1</v>
      </c>
      <c r="F25" s="607" t="s">
        <v>30</v>
      </c>
      <c r="G25" s="260" t="s">
        <v>845</v>
      </c>
      <c r="H25" s="19" t="s">
        <v>62</v>
      </c>
      <c r="I25" s="243" t="s">
        <v>63</v>
      </c>
    </row>
    <row r="26" ht="128.25">
      <c r="A26" s="798"/>
      <c r="B26" s="798"/>
      <c r="C26" s="311">
        <v>8</v>
      </c>
      <c r="D26" s="206" t="s">
        <v>90</v>
      </c>
      <c r="E26" s="793">
        <v>0</v>
      </c>
      <c r="F26" s="341" t="s">
        <v>161</v>
      </c>
      <c r="G26" s="205" t="s">
        <v>861</v>
      </c>
      <c r="H26" s="19" t="s">
        <v>62</v>
      </c>
      <c r="I26" s="243" t="s">
        <v>70</v>
      </c>
    </row>
    <row r="27" ht="57">
      <c r="A27" s="798"/>
      <c r="B27" s="798"/>
      <c r="C27" s="311">
        <v>9</v>
      </c>
      <c r="D27" s="206" t="s">
        <v>98</v>
      </c>
      <c r="E27" s="790">
        <v>1</v>
      </c>
      <c r="F27" s="607" t="s">
        <v>30</v>
      </c>
      <c r="G27" s="205" t="s">
        <v>862</v>
      </c>
      <c r="H27" s="19" t="s">
        <v>62</v>
      </c>
      <c r="I27" s="243" t="s">
        <v>70</v>
      </c>
    </row>
    <row r="28" ht="42.75">
      <c r="A28" s="798"/>
      <c r="B28" s="798"/>
      <c r="C28" s="311">
        <v>10</v>
      </c>
      <c r="D28" s="205" t="s">
        <v>82</v>
      </c>
      <c r="E28" s="793">
        <v>0</v>
      </c>
      <c r="F28" s="341" t="s">
        <v>161</v>
      </c>
      <c r="G28" s="82" t="s">
        <v>183</v>
      </c>
      <c r="H28" s="19" t="s">
        <v>62</v>
      </c>
      <c r="I28" s="243" t="s">
        <v>66</v>
      </c>
    </row>
    <row r="29" ht="85.5">
      <c r="A29" s="798"/>
      <c r="B29" s="798"/>
      <c r="C29" s="311">
        <v>11</v>
      </c>
      <c r="D29" s="82" t="s">
        <v>69</v>
      </c>
      <c r="E29" s="793">
        <v>0</v>
      </c>
      <c r="F29" s="341" t="s">
        <v>161</v>
      </c>
      <c r="G29" s="205" t="s">
        <v>183</v>
      </c>
      <c r="H29" s="19" t="s">
        <v>62</v>
      </c>
      <c r="I29" s="243" t="s">
        <v>70</v>
      </c>
    </row>
    <row r="30" ht="57">
      <c r="A30" s="798"/>
      <c r="B30" s="798"/>
      <c r="C30" s="311">
        <v>12</v>
      </c>
      <c r="D30" s="82" t="s">
        <v>61</v>
      </c>
      <c r="E30" s="793">
        <v>0</v>
      </c>
      <c r="F30" s="341" t="s">
        <v>161</v>
      </c>
      <c r="G30" s="205" t="s">
        <v>859</v>
      </c>
      <c r="H30" s="19" t="s">
        <v>62</v>
      </c>
      <c r="I30" s="243" t="s">
        <v>70</v>
      </c>
    </row>
    <row r="31" ht="28.5">
      <c r="A31" s="798"/>
      <c r="B31" s="798"/>
      <c r="C31" s="311">
        <v>13</v>
      </c>
      <c r="D31" s="82" t="s">
        <v>67</v>
      </c>
      <c r="E31" s="793">
        <v>0</v>
      </c>
      <c r="F31" s="341" t="s">
        <v>161</v>
      </c>
      <c r="G31" s="205" t="s">
        <v>179</v>
      </c>
      <c r="H31" s="19" t="s">
        <v>62</v>
      </c>
      <c r="I31" s="68" t="s">
        <v>66</v>
      </c>
    </row>
    <row r="32" ht="42.75">
      <c r="A32" s="798"/>
      <c r="B32" s="798"/>
      <c r="C32" s="68">
        <v>14</v>
      </c>
      <c r="D32" s="82" t="s">
        <v>85</v>
      </c>
      <c r="E32" s="793">
        <v>0</v>
      </c>
      <c r="F32" s="341" t="s">
        <v>161</v>
      </c>
      <c r="G32" s="82" t="s">
        <v>863</v>
      </c>
      <c r="H32" s="19" t="s">
        <v>62</v>
      </c>
      <c r="I32" s="68" t="s">
        <v>70</v>
      </c>
    </row>
    <row r="33" ht="71.25">
      <c r="A33" s="798"/>
      <c r="B33" s="798"/>
      <c r="C33" s="68">
        <v>15</v>
      </c>
      <c r="D33" s="82" t="s">
        <v>185</v>
      </c>
      <c r="E33" s="793">
        <v>0</v>
      </c>
      <c r="F33" s="341" t="s">
        <v>161</v>
      </c>
      <c r="G33" s="205" t="s">
        <v>864</v>
      </c>
      <c r="H33" s="19" t="s">
        <v>62</v>
      </c>
      <c r="I33" s="68" t="s">
        <v>63</v>
      </c>
    </row>
    <row r="34" ht="57">
      <c r="A34" s="798"/>
      <c r="B34" s="798"/>
      <c r="C34" s="68">
        <v>16</v>
      </c>
      <c r="D34" s="82" t="s">
        <v>72</v>
      </c>
      <c r="E34" s="793">
        <v>0</v>
      </c>
      <c r="F34" s="341" t="s">
        <v>161</v>
      </c>
      <c r="G34" s="205" t="s">
        <v>865</v>
      </c>
      <c r="H34" s="19" t="s">
        <v>62</v>
      </c>
      <c r="I34" s="209" t="s">
        <v>66</v>
      </c>
    </row>
    <row r="35" ht="42.75">
      <c r="A35" s="798"/>
      <c r="B35" s="798"/>
      <c r="C35" s="68">
        <v>17</v>
      </c>
      <c r="D35" s="82" t="s">
        <v>88</v>
      </c>
      <c r="E35" s="799" t="s">
        <v>250</v>
      </c>
      <c r="F35" s="800" t="s">
        <v>251</v>
      </c>
      <c r="G35" s="209" t="s">
        <v>866</v>
      </c>
      <c r="H35" s="19" t="s">
        <v>62</v>
      </c>
      <c r="I35" s="209" t="s">
        <v>66</v>
      </c>
    </row>
    <row r="36" ht="57">
      <c r="A36" s="798"/>
      <c r="B36" s="798"/>
      <c r="C36" s="68">
        <v>18</v>
      </c>
      <c r="D36" s="82" t="s">
        <v>93</v>
      </c>
      <c r="E36" s="790">
        <v>1</v>
      </c>
      <c r="F36" s="607" t="s">
        <v>30</v>
      </c>
      <c r="G36" s="68" t="s">
        <v>867</v>
      </c>
      <c r="H36" s="19" t="s">
        <v>62</v>
      </c>
      <c r="I36" s="68" t="s">
        <v>66</v>
      </c>
    </row>
    <row r="37" ht="57">
      <c r="A37" s="798"/>
      <c r="B37" s="798"/>
      <c r="C37" s="68">
        <v>19</v>
      </c>
      <c r="D37" s="82" t="s">
        <v>80</v>
      </c>
      <c r="E37" s="793">
        <v>0</v>
      </c>
      <c r="F37" s="341" t="s">
        <v>161</v>
      </c>
      <c r="G37" s="82" t="s">
        <v>868</v>
      </c>
      <c r="H37" s="19" t="s">
        <v>62</v>
      </c>
      <c r="I37" s="68" t="s">
        <v>70</v>
      </c>
    </row>
    <row r="38" ht="42.75">
      <c r="A38" s="798"/>
      <c r="B38" s="798"/>
      <c r="C38" s="68">
        <v>20</v>
      </c>
      <c r="D38" s="82" t="s">
        <v>91</v>
      </c>
      <c r="E38" s="793">
        <v>0</v>
      </c>
      <c r="F38" s="341" t="s">
        <v>161</v>
      </c>
      <c r="G38" s="82" t="s">
        <v>869</v>
      </c>
      <c r="H38" s="19" t="s">
        <v>62</v>
      </c>
      <c r="I38" s="68" t="s">
        <v>70</v>
      </c>
    </row>
    <row r="39" ht="42.75">
      <c r="A39" s="798"/>
      <c r="B39" s="798"/>
      <c r="C39" s="68">
        <v>21</v>
      </c>
      <c r="D39" s="82" t="s">
        <v>92</v>
      </c>
      <c r="E39" s="790">
        <v>1</v>
      </c>
      <c r="F39" s="607" t="s">
        <v>30</v>
      </c>
      <c r="G39" s="82" t="s">
        <v>848</v>
      </c>
      <c r="H39" s="19" t="s">
        <v>62</v>
      </c>
      <c r="I39" s="209" t="s">
        <v>63</v>
      </c>
    </row>
    <row r="40" ht="85.5">
      <c r="A40" s="798"/>
      <c r="B40" s="798"/>
      <c r="C40" s="68">
        <v>22</v>
      </c>
      <c r="D40" s="82" t="s">
        <v>74</v>
      </c>
      <c r="E40" s="793">
        <v>0</v>
      </c>
      <c r="F40" s="341" t="s">
        <v>161</v>
      </c>
      <c r="G40" s="205" t="s">
        <v>870</v>
      </c>
      <c r="H40" s="19" t="s">
        <v>62</v>
      </c>
      <c r="I40" s="68" t="s">
        <v>63</v>
      </c>
    </row>
    <row r="41" ht="57">
      <c r="A41" s="798"/>
      <c r="B41" s="798"/>
      <c r="C41" s="68">
        <v>23</v>
      </c>
      <c r="D41" s="82" t="s">
        <v>84</v>
      </c>
      <c r="E41" s="793">
        <v>0</v>
      </c>
      <c r="F41" s="341" t="s">
        <v>161</v>
      </c>
      <c r="G41" s="205" t="s">
        <v>871</v>
      </c>
      <c r="H41" s="19" t="s">
        <v>62</v>
      </c>
      <c r="I41" s="68" t="s">
        <v>70</v>
      </c>
    </row>
    <row r="42" ht="156.75">
      <c r="A42" s="798"/>
      <c r="B42" s="798"/>
      <c r="C42" s="68">
        <v>24</v>
      </c>
      <c r="D42" s="82" t="s">
        <v>77</v>
      </c>
      <c r="E42" s="793">
        <v>0</v>
      </c>
      <c r="F42" s="341" t="s">
        <v>161</v>
      </c>
      <c r="G42" s="205" t="s">
        <v>863</v>
      </c>
      <c r="H42" s="19" t="s">
        <v>62</v>
      </c>
      <c r="I42" s="209" t="s">
        <v>70</v>
      </c>
    </row>
    <row r="43" ht="28.5">
      <c r="A43" s="798"/>
      <c r="B43" s="798"/>
      <c r="C43" s="68">
        <v>25</v>
      </c>
      <c r="D43" s="82" t="s">
        <v>76</v>
      </c>
      <c r="E43" s="793">
        <v>0</v>
      </c>
      <c r="F43" s="341" t="s">
        <v>161</v>
      </c>
      <c r="G43" s="82" t="s">
        <v>183</v>
      </c>
      <c r="H43" s="19" t="s">
        <v>62</v>
      </c>
      <c r="I43" s="68" t="s">
        <v>70</v>
      </c>
    </row>
    <row r="44" ht="28.5">
      <c r="A44" s="68"/>
      <c r="B44" s="68"/>
      <c r="C44" s="68">
        <v>26</v>
      </c>
      <c r="D44" s="82" t="s">
        <v>96</v>
      </c>
      <c r="E44" s="790">
        <v>1</v>
      </c>
      <c r="F44" s="607" t="s">
        <v>30</v>
      </c>
      <c r="G44" s="68" t="s">
        <v>872</v>
      </c>
      <c r="H44" s="19" t="s">
        <v>62</v>
      </c>
      <c r="I44" s="209" t="s">
        <v>66</v>
      </c>
    </row>
    <row r="45" ht="14.25">
      <c r="D45" s="102"/>
      <c r="E45" s="801">
        <f>(E19+E20+E21+E22+E23+E24+E25+E26+E27+E28+E29+E30+E31+E32+E33+E34+E36+E37+E38+E39+E40+E41+E42+E43+E44)/25</f>
        <v>0.35999999999999999</v>
      </c>
      <c r="F45" s="781"/>
      <c r="H45" s="102"/>
    </row>
    <row r="46" ht="17.25">
      <c r="A46" s="570" t="s">
        <v>193</v>
      </c>
      <c r="B46" s="570"/>
      <c r="C46" s="570"/>
      <c r="D46" s="570"/>
      <c r="E46" s="570"/>
      <c r="F46" s="570"/>
      <c r="G46" s="570"/>
      <c r="H46" s="570"/>
      <c r="I46" s="570"/>
      <c r="J46" s="12"/>
    </row>
    <row r="47" ht="14.25">
      <c r="A47" s="802"/>
      <c r="B47" s="802"/>
      <c r="C47" s="802"/>
      <c r="D47" s="802"/>
      <c r="E47" s="802"/>
      <c r="F47" s="803"/>
      <c r="G47" s="802"/>
      <c r="H47" s="803"/>
      <c r="I47" s="802"/>
      <c r="J47" s="12"/>
    </row>
    <row r="48" ht="62.25" customHeight="1">
      <c r="A48" s="176" t="s">
        <v>853</v>
      </c>
      <c r="B48" s="168" t="s">
        <v>854</v>
      </c>
      <c r="C48" s="169"/>
      <c r="D48" s="170"/>
      <c r="E48" s="753">
        <v>0.35999999999999999</v>
      </c>
      <c r="F48" s="804" t="s">
        <v>13</v>
      </c>
      <c r="G48" s="85" t="s">
        <v>873</v>
      </c>
      <c r="H48" s="86"/>
      <c r="I48" s="87"/>
      <c r="J48" s="12"/>
    </row>
  </sheetData>
  <mergeCells count="12">
    <mergeCell ref="E2:F2"/>
    <mergeCell ref="A3:A11"/>
    <mergeCell ref="B3:B11"/>
    <mergeCell ref="A13:I13"/>
    <mergeCell ref="B15:D15"/>
    <mergeCell ref="G15:I15"/>
    <mergeCell ref="E18:F18"/>
    <mergeCell ref="A19:A43"/>
    <mergeCell ref="B19:B43"/>
    <mergeCell ref="A46:I46"/>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8" zoomScale="100" workbookViewId="0">
      <selection activeCell="A1" activeCellId="0" sqref="A1"/>
    </sheetView>
  </sheetViews>
  <sheetFormatPr defaultRowHeight="14.25"/>
  <cols>
    <col customWidth="1" min="1" max="1" width="27.28125"/>
    <col customWidth="1" min="2" max="2" width="25.00390625"/>
    <col customWidth="1" min="3" max="3" width="5.00390625"/>
    <col customWidth="1" min="4" max="4" width="26.00390625"/>
    <col customWidth="1" min="6" max="6" width="13.7109375"/>
    <col customWidth="1" min="7" max="7" width="101.140625"/>
    <col customWidth="1" min="9" max="9" style="215" width="27.8515625"/>
    <col customWidth="1" min="10" max="10" width="39.57421875"/>
  </cols>
  <sheetData>
    <row r="1" ht="15">
      <c r="A1" s="633" t="s">
        <v>153</v>
      </c>
      <c r="B1" s="614"/>
      <c r="C1" s="614"/>
      <c r="D1" s="614"/>
      <c r="E1" s="614"/>
      <c r="F1" s="614"/>
      <c r="G1" s="614"/>
      <c r="H1" s="614"/>
      <c r="I1" s="615"/>
    </row>
    <row r="2" ht="30">
      <c r="A2" s="285" t="s">
        <v>154</v>
      </c>
      <c r="B2" s="285" t="s">
        <v>127</v>
      </c>
      <c r="C2" s="285" t="s">
        <v>5</v>
      </c>
      <c r="D2" s="223" t="s">
        <v>155</v>
      </c>
      <c r="E2" s="221" t="s">
        <v>8</v>
      </c>
      <c r="F2" s="222"/>
      <c r="G2" s="223" t="s">
        <v>156</v>
      </c>
      <c r="H2" s="805" t="s">
        <v>230</v>
      </c>
      <c r="I2" s="223" t="s">
        <v>158</v>
      </c>
    </row>
    <row r="3" ht="49.5" customHeight="1">
      <c r="A3" s="510" t="s">
        <v>842</v>
      </c>
      <c r="B3" s="510" t="s">
        <v>874</v>
      </c>
      <c r="C3" s="156">
        <v>1</v>
      </c>
      <c r="D3" s="261" t="s">
        <v>29</v>
      </c>
      <c r="E3" s="651">
        <v>1</v>
      </c>
      <c r="F3" s="392" t="s">
        <v>30</v>
      </c>
      <c r="G3" s="147" t="s">
        <v>875</v>
      </c>
      <c r="H3" s="292" t="s">
        <v>14</v>
      </c>
      <c r="I3" s="147" t="s">
        <v>15</v>
      </c>
    </row>
    <row r="4" ht="85.5">
      <c r="A4" s="512"/>
      <c r="B4" s="512"/>
      <c r="C4" s="156">
        <v>2</v>
      </c>
      <c r="D4" s="261" t="s">
        <v>26</v>
      </c>
      <c r="E4" s="651">
        <v>0.94999999999999996</v>
      </c>
      <c r="F4" s="607" t="s">
        <v>30</v>
      </c>
      <c r="G4" s="806" t="s">
        <v>876</v>
      </c>
      <c r="H4" s="292" t="s">
        <v>14</v>
      </c>
      <c r="I4" s="147" t="s">
        <v>15</v>
      </c>
    </row>
    <row r="5" ht="42.75">
      <c r="A5" s="512"/>
      <c r="B5" s="512"/>
      <c r="C5" s="156">
        <v>3</v>
      </c>
      <c r="D5" s="261" t="s">
        <v>12</v>
      </c>
      <c r="E5" s="649">
        <v>0</v>
      </c>
      <c r="F5" s="544" t="s">
        <v>161</v>
      </c>
      <c r="G5" s="806" t="s">
        <v>877</v>
      </c>
      <c r="H5" s="292" t="s">
        <v>14</v>
      </c>
      <c r="I5" s="147" t="s">
        <v>15</v>
      </c>
    </row>
    <row r="6" ht="112.5" customHeight="1">
      <c r="A6" s="512"/>
      <c r="B6" s="512"/>
      <c r="C6" s="156">
        <v>4</v>
      </c>
      <c r="D6" s="238" t="s">
        <v>20</v>
      </c>
      <c r="E6" s="649">
        <v>0</v>
      </c>
      <c r="F6" s="544" t="s">
        <v>161</v>
      </c>
      <c r="G6" s="806" t="s">
        <v>878</v>
      </c>
      <c r="H6" s="292" t="s">
        <v>14</v>
      </c>
      <c r="I6" s="147" t="s">
        <v>15</v>
      </c>
      <c r="J6" s="730"/>
    </row>
    <row r="7" ht="33.75" customHeight="1">
      <c r="A7" s="512"/>
      <c r="B7" s="512"/>
      <c r="C7" s="156">
        <v>5</v>
      </c>
      <c r="D7" s="27" t="s">
        <v>23</v>
      </c>
      <c r="E7" s="651">
        <v>1</v>
      </c>
      <c r="F7" s="392" t="s">
        <v>30</v>
      </c>
      <c r="G7" s="261" t="s">
        <v>879</v>
      </c>
      <c r="H7" s="292" t="s">
        <v>14</v>
      </c>
      <c r="I7" s="147" t="s">
        <v>15</v>
      </c>
      <c r="J7" s="730"/>
    </row>
    <row r="8" ht="114">
      <c r="A8" s="512"/>
      <c r="B8" s="512"/>
      <c r="C8" s="156">
        <v>6</v>
      </c>
      <c r="D8" s="738" t="s">
        <v>22</v>
      </c>
      <c r="E8" s="651">
        <v>1</v>
      </c>
      <c r="F8" s="392" t="s">
        <v>30</v>
      </c>
      <c r="G8" s="261" t="s">
        <v>880</v>
      </c>
      <c r="H8" s="292" t="s">
        <v>14</v>
      </c>
      <c r="I8" s="147" t="s">
        <v>15</v>
      </c>
    </row>
    <row r="9" ht="99.75">
      <c r="A9" s="512"/>
      <c r="B9" s="512"/>
      <c r="C9" s="156">
        <v>7</v>
      </c>
      <c r="D9" s="261" t="s">
        <v>19</v>
      </c>
      <c r="E9" s="649">
        <v>0</v>
      </c>
      <c r="F9" s="544" t="s">
        <v>161</v>
      </c>
      <c r="G9" s="261" t="s">
        <v>881</v>
      </c>
      <c r="H9" s="292" t="s">
        <v>14</v>
      </c>
      <c r="I9" s="147" t="s">
        <v>15</v>
      </c>
    </row>
    <row r="10" ht="57">
      <c r="A10" s="512"/>
      <c r="B10" s="512"/>
      <c r="C10" s="156">
        <v>8</v>
      </c>
      <c r="D10" s="261" t="s">
        <v>32</v>
      </c>
      <c r="E10" s="651">
        <v>1</v>
      </c>
      <c r="F10" s="392" t="s">
        <v>30</v>
      </c>
      <c r="G10" s="229" t="s">
        <v>851</v>
      </c>
      <c r="H10" s="229" t="s">
        <v>168</v>
      </c>
      <c r="I10" s="147" t="s">
        <v>15</v>
      </c>
      <c r="J10" s="337"/>
    </row>
    <row r="11" ht="114">
      <c r="A11" s="523"/>
      <c r="B11" s="523"/>
      <c r="C11" s="156">
        <v>9</v>
      </c>
      <c r="D11" s="261" t="s">
        <v>17</v>
      </c>
      <c r="E11" s="651">
        <v>1</v>
      </c>
      <c r="F11" s="392" t="s">
        <v>30</v>
      </c>
      <c r="G11" s="229" t="s">
        <v>882</v>
      </c>
      <c r="H11" s="292" t="s">
        <v>14</v>
      </c>
      <c r="I11" s="147" t="s">
        <v>15</v>
      </c>
      <c r="J11" s="337"/>
    </row>
    <row r="12" ht="15">
      <c r="A12" s="807"/>
      <c r="B12" s="807"/>
      <c r="C12" s="275"/>
      <c r="D12" s="717"/>
      <c r="E12" s="808">
        <f>(E3+E4+E5+E6+E7+E8+E9+E10+E11)/9</f>
        <v>0.66111111111111109</v>
      </c>
      <c r="F12" s="548"/>
      <c r="G12" s="809"/>
      <c r="H12" s="410"/>
      <c r="I12" s="590"/>
      <c r="J12" s="337"/>
    </row>
    <row r="13" ht="15">
      <c r="A13" s="302" t="s">
        <v>193</v>
      </c>
      <c r="B13" s="302"/>
      <c r="C13" s="302"/>
      <c r="D13" s="302"/>
      <c r="E13" s="302"/>
      <c r="F13" s="302"/>
      <c r="G13" s="302"/>
      <c r="H13" s="302"/>
      <c r="I13" s="302"/>
    </row>
    <row r="14" ht="15">
      <c r="A14" s="300"/>
      <c r="B14" s="300"/>
      <c r="C14" s="300"/>
      <c r="D14" s="300"/>
      <c r="E14" s="300"/>
      <c r="F14" s="300"/>
      <c r="G14" s="300"/>
      <c r="H14" s="300"/>
      <c r="I14" s="275"/>
    </row>
    <row r="15" ht="54" customHeight="1">
      <c r="A15" s="176" t="s">
        <v>853</v>
      </c>
      <c r="B15" s="168" t="s">
        <v>883</v>
      </c>
      <c r="C15" s="169"/>
      <c r="D15" s="170"/>
      <c r="E15" s="466">
        <v>0.66000000000000003</v>
      </c>
      <c r="F15" s="810" t="s">
        <v>27</v>
      </c>
      <c r="G15" s="168" t="s">
        <v>884</v>
      </c>
      <c r="H15" s="169"/>
      <c r="I15" s="170"/>
      <c r="J15" s="12"/>
    </row>
    <row r="16" ht="14.25">
      <c r="I16" s="215"/>
    </row>
    <row r="17" ht="15">
      <c r="A17" s="633" t="s">
        <v>600</v>
      </c>
      <c r="B17" s="614"/>
      <c r="C17" s="614"/>
      <c r="D17" s="614"/>
      <c r="E17" s="614"/>
      <c r="F17" s="614"/>
      <c r="G17" s="614"/>
      <c r="H17" s="614"/>
      <c r="I17" s="615"/>
    </row>
    <row r="18" ht="30">
      <c r="A18" s="285" t="s">
        <v>154</v>
      </c>
      <c r="B18" s="285" t="s">
        <v>127</v>
      </c>
      <c r="C18" s="285" t="s">
        <v>5</v>
      </c>
      <c r="D18" s="223" t="s">
        <v>155</v>
      </c>
      <c r="E18" s="221" t="s">
        <v>8</v>
      </c>
      <c r="F18" s="222"/>
      <c r="G18" s="223" t="s">
        <v>156</v>
      </c>
      <c r="H18" s="805" t="s">
        <v>230</v>
      </c>
      <c r="I18" s="223" t="s">
        <v>158</v>
      </c>
    </row>
    <row r="19" ht="42.75">
      <c r="A19" s="510" t="s">
        <v>842</v>
      </c>
      <c r="B19" s="510" t="s">
        <v>874</v>
      </c>
      <c r="C19" s="156">
        <v>1</v>
      </c>
      <c r="D19" s="347" t="s">
        <v>173</v>
      </c>
      <c r="E19" s="651">
        <v>1</v>
      </c>
      <c r="F19" s="392" t="s">
        <v>30</v>
      </c>
      <c r="G19" s="347" t="s">
        <v>856</v>
      </c>
      <c r="H19" s="292" t="s">
        <v>62</v>
      </c>
      <c r="I19" s="261" t="s">
        <v>66</v>
      </c>
    </row>
    <row r="20" ht="85.5">
      <c r="A20" s="512"/>
      <c r="B20" s="512"/>
      <c r="C20" s="156">
        <v>2</v>
      </c>
      <c r="D20" s="347" t="s">
        <v>211</v>
      </c>
      <c r="E20" s="651">
        <v>1</v>
      </c>
      <c r="F20" s="392" t="s">
        <v>30</v>
      </c>
      <c r="G20" s="806" t="s">
        <v>885</v>
      </c>
      <c r="H20" s="292" t="s">
        <v>62</v>
      </c>
      <c r="I20" s="261" t="s">
        <v>66</v>
      </c>
    </row>
    <row r="21" ht="30">
      <c r="A21" s="512"/>
      <c r="B21" s="512"/>
      <c r="C21" s="156">
        <v>3</v>
      </c>
      <c r="D21" s="347" t="s">
        <v>104</v>
      </c>
      <c r="E21" s="651">
        <v>1</v>
      </c>
      <c r="F21" s="392" t="s">
        <v>30</v>
      </c>
      <c r="G21" s="806" t="s">
        <v>875</v>
      </c>
      <c r="H21" s="19" t="s">
        <v>62</v>
      </c>
      <c r="I21" s="261" t="s">
        <v>63</v>
      </c>
    </row>
    <row r="22" ht="114">
      <c r="A22" s="512"/>
      <c r="B22" s="512"/>
      <c r="C22" s="156">
        <v>4</v>
      </c>
      <c r="D22" s="811" t="s">
        <v>94</v>
      </c>
      <c r="E22" s="651">
        <v>1</v>
      </c>
      <c r="F22" s="392" t="s">
        <v>30</v>
      </c>
      <c r="G22" s="806" t="s">
        <v>886</v>
      </c>
      <c r="H22" s="19" t="s">
        <v>62</v>
      </c>
      <c r="I22" s="265" t="s">
        <v>66</v>
      </c>
    </row>
    <row r="23" ht="30">
      <c r="A23" s="512"/>
      <c r="B23" s="512"/>
      <c r="C23" s="156">
        <v>5</v>
      </c>
      <c r="D23" s="261" t="s">
        <v>65</v>
      </c>
      <c r="E23" s="649">
        <v>0</v>
      </c>
      <c r="F23" s="544" t="s">
        <v>161</v>
      </c>
      <c r="G23" s="347" t="s">
        <v>887</v>
      </c>
      <c r="H23" s="19" t="s">
        <v>62</v>
      </c>
      <c r="I23" s="229" t="s">
        <v>66</v>
      </c>
    </row>
    <row r="24" ht="42.75">
      <c r="A24" s="512"/>
      <c r="B24" s="512"/>
      <c r="C24" s="156">
        <v>6</v>
      </c>
      <c r="D24" s="347" t="s">
        <v>79</v>
      </c>
      <c r="E24" s="649">
        <v>0</v>
      </c>
      <c r="F24" s="544" t="s">
        <v>161</v>
      </c>
      <c r="G24" s="347" t="s">
        <v>888</v>
      </c>
      <c r="H24" s="19" t="s">
        <v>62</v>
      </c>
      <c r="I24" s="243" t="s">
        <v>63</v>
      </c>
    </row>
    <row r="25" ht="75">
      <c r="A25" s="512"/>
      <c r="B25" s="512"/>
      <c r="C25" s="156">
        <v>7</v>
      </c>
      <c r="D25" s="347" t="s">
        <v>100</v>
      </c>
      <c r="E25" s="651">
        <v>0.93000000000000005</v>
      </c>
      <c r="F25" s="392" t="s">
        <v>30</v>
      </c>
      <c r="G25" s="268" t="s">
        <v>889</v>
      </c>
      <c r="H25" s="19" t="s">
        <v>62</v>
      </c>
      <c r="I25" s="243" t="s">
        <v>63</v>
      </c>
    </row>
    <row r="26" ht="99.75">
      <c r="A26" s="512"/>
      <c r="B26" s="512"/>
      <c r="C26" s="68">
        <v>8</v>
      </c>
      <c r="D26" s="206" t="s">
        <v>90</v>
      </c>
      <c r="E26" s="649">
        <v>0</v>
      </c>
      <c r="F26" s="544" t="s">
        <v>161</v>
      </c>
      <c r="G26" s="205" t="s">
        <v>861</v>
      </c>
      <c r="H26" s="19" t="s">
        <v>62</v>
      </c>
      <c r="I26" s="243" t="s">
        <v>70</v>
      </c>
    </row>
    <row r="27" ht="57">
      <c r="A27" s="512"/>
      <c r="B27" s="512"/>
      <c r="C27" s="68">
        <v>9</v>
      </c>
      <c r="D27" s="206" t="s">
        <v>98</v>
      </c>
      <c r="E27" s="755">
        <v>1</v>
      </c>
      <c r="F27" s="392" t="s">
        <v>30</v>
      </c>
      <c r="G27" s="205" t="s">
        <v>875</v>
      </c>
      <c r="H27" s="19" t="s">
        <v>62</v>
      </c>
      <c r="I27" s="243" t="s">
        <v>70</v>
      </c>
    </row>
    <row r="28" ht="42.75">
      <c r="A28" s="512"/>
      <c r="B28" s="512"/>
      <c r="C28" s="68">
        <v>10</v>
      </c>
      <c r="D28" s="82" t="s">
        <v>82</v>
      </c>
      <c r="E28" s="649">
        <v>0</v>
      </c>
      <c r="F28" s="544" t="s">
        <v>161</v>
      </c>
      <c r="G28" s="205" t="s">
        <v>890</v>
      </c>
      <c r="H28" s="19" t="s">
        <v>62</v>
      </c>
      <c r="I28" s="243" t="s">
        <v>66</v>
      </c>
    </row>
    <row r="29" ht="85.5">
      <c r="A29" s="512"/>
      <c r="B29" s="512"/>
      <c r="C29" s="68">
        <v>11</v>
      </c>
      <c r="D29" s="82" t="s">
        <v>69</v>
      </c>
      <c r="E29" s="649">
        <v>0</v>
      </c>
      <c r="F29" s="544" t="s">
        <v>161</v>
      </c>
      <c r="G29" s="205" t="s">
        <v>183</v>
      </c>
      <c r="H29" s="19" t="s">
        <v>62</v>
      </c>
      <c r="I29" s="243" t="s">
        <v>70</v>
      </c>
    </row>
    <row r="30" ht="42.75">
      <c r="A30" s="512"/>
      <c r="B30" s="512"/>
      <c r="C30" s="68">
        <v>12</v>
      </c>
      <c r="D30" s="82" t="s">
        <v>61</v>
      </c>
      <c r="E30" s="649">
        <v>0</v>
      </c>
      <c r="F30" s="544" t="s">
        <v>161</v>
      </c>
      <c r="G30" s="82" t="s">
        <v>887</v>
      </c>
      <c r="H30" s="19" t="s">
        <v>62</v>
      </c>
      <c r="I30" s="243" t="s">
        <v>70</v>
      </c>
    </row>
    <row r="31" ht="30">
      <c r="A31" s="512"/>
      <c r="B31" s="512"/>
      <c r="C31" s="68">
        <v>13</v>
      </c>
      <c r="D31" s="82" t="s">
        <v>67</v>
      </c>
      <c r="E31" s="544">
        <v>0</v>
      </c>
      <c r="F31" s="544" t="s">
        <v>161</v>
      </c>
      <c r="G31" s="205" t="s">
        <v>179</v>
      </c>
      <c r="H31" s="19" t="s">
        <v>62</v>
      </c>
      <c r="I31" s="209" t="s">
        <v>66</v>
      </c>
    </row>
    <row r="32" ht="42.75">
      <c r="A32" s="512"/>
      <c r="B32" s="512"/>
      <c r="C32" s="68">
        <v>14</v>
      </c>
      <c r="D32" s="82" t="s">
        <v>85</v>
      </c>
      <c r="E32" s="544">
        <v>0</v>
      </c>
      <c r="F32" s="544" t="s">
        <v>161</v>
      </c>
      <c r="G32" s="205" t="s">
        <v>863</v>
      </c>
      <c r="H32" s="19" t="s">
        <v>62</v>
      </c>
      <c r="I32" s="209" t="s">
        <v>70</v>
      </c>
    </row>
    <row r="33" ht="57">
      <c r="A33" s="512"/>
      <c r="B33" s="512"/>
      <c r="C33" s="68">
        <v>15</v>
      </c>
      <c r="D33" s="82" t="s">
        <v>185</v>
      </c>
      <c r="E33" s="544">
        <v>0</v>
      </c>
      <c r="F33" s="544" t="s">
        <v>161</v>
      </c>
      <c r="G33" s="205" t="s">
        <v>863</v>
      </c>
      <c r="H33" s="19" t="s">
        <v>62</v>
      </c>
      <c r="I33" s="209" t="s">
        <v>63</v>
      </c>
    </row>
    <row r="34" ht="42.75">
      <c r="A34" s="512"/>
      <c r="B34" s="512"/>
      <c r="C34" s="68">
        <v>16</v>
      </c>
      <c r="D34" s="82" t="s">
        <v>72</v>
      </c>
      <c r="E34" s="544">
        <v>0</v>
      </c>
      <c r="F34" s="544" t="s">
        <v>161</v>
      </c>
      <c r="G34" s="205" t="s">
        <v>183</v>
      </c>
      <c r="H34" s="19" t="s">
        <v>62</v>
      </c>
      <c r="I34" s="209" t="s">
        <v>66</v>
      </c>
    </row>
    <row r="35" ht="42.75">
      <c r="A35" s="512"/>
      <c r="B35" s="512"/>
      <c r="C35" s="68">
        <v>17</v>
      </c>
      <c r="D35" s="82" t="s">
        <v>88</v>
      </c>
      <c r="E35" s="812" t="s">
        <v>250</v>
      </c>
      <c r="F35" s="314" t="s">
        <v>251</v>
      </c>
      <c r="G35" s="68" t="s">
        <v>866</v>
      </c>
      <c r="H35" s="19" t="s">
        <v>62</v>
      </c>
      <c r="I35" s="209" t="s">
        <v>66</v>
      </c>
    </row>
    <row r="36" ht="57">
      <c r="A36" s="512"/>
      <c r="B36" s="512"/>
      <c r="C36" s="68">
        <v>18</v>
      </c>
      <c r="D36" s="82" t="s">
        <v>93</v>
      </c>
      <c r="E36" s="755">
        <v>1</v>
      </c>
      <c r="F36" s="392" t="s">
        <v>30</v>
      </c>
      <c r="G36" s="209" t="s">
        <v>891</v>
      </c>
      <c r="H36" s="19" t="s">
        <v>62</v>
      </c>
      <c r="I36" s="209" t="s">
        <v>66</v>
      </c>
    </row>
    <row r="37" ht="57">
      <c r="A37" s="512"/>
      <c r="B37" s="512"/>
      <c r="C37" s="68">
        <v>19</v>
      </c>
      <c r="D37" s="82" t="s">
        <v>80</v>
      </c>
      <c r="E37" s="544">
        <v>0</v>
      </c>
      <c r="F37" s="544" t="s">
        <v>161</v>
      </c>
      <c r="G37" s="205" t="s">
        <v>868</v>
      </c>
      <c r="H37" s="19" t="s">
        <v>62</v>
      </c>
      <c r="I37" s="209" t="s">
        <v>70</v>
      </c>
    </row>
    <row r="38" ht="42.75">
      <c r="A38" s="512"/>
      <c r="B38" s="512"/>
      <c r="C38" s="68">
        <v>20</v>
      </c>
      <c r="D38" s="82" t="s">
        <v>91</v>
      </c>
      <c r="E38" s="544">
        <v>0</v>
      </c>
      <c r="F38" s="544" t="s">
        <v>161</v>
      </c>
      <c r="G38" s="82" t="s">
        <v>869</v>
      </c>
      <c r="H38" s="19" t="s">
        <v>62</v>
      </c>
      <c r="I38" s="209" t="s">
        <v>70</v>
      </c>
    </row>
    <row r="39" ht="30">
      <c r="A39" s="512"/>
      <c r="B39" s="512"/>
      <c r="C39" s="68">
        <v>21</v>
      </c>
      <c r="D39" s="82" t="s">
        <v>92</v>
      </c>
      <c r="E39" s="755">
        <v>1</v>
      </c>
      <c r="F39" s="392" t="s">
        <v>30</v>
      </c>
      <c r="G39" s="82" t="s">
        <v>879</v>
      </c>
      <c r="H39" s="19" t="s">
        <v>62</v>
      </c>
      <c r="I39" s="209" t="s">
        <v>63</v>
      </c>
    </row>
    <row r="40" ht="57">
      <c r="A40" s="512"/>
      <c r="B40" s="512"/>
      <c r="C40" s="209">
        <v>22</v>
      </c>
      <c r="D40" s="82" t="s">
        <v>74</v>
      </c>
      <c r="E40" s="544">
        <v>0</v>
      </c>
      <c r="F40" s="544" t="s">
        <v>161</v>
      </c>
      <c r="G40" s="205" t="s">
        <v>869</v>
      </c>
      <c r="H40" s="19" t="s">
        <v>62</v>
      </c>
      <c r="I40" s="209" t="s">
        <v>63</v>
      </c>
    </row>
    <row r="41" ht="57">
      <c r="A41" s="512"/>
      <c r="B41" s="512"/>
      <c r="C41" s="209">
        <v>23</v>
      </c>
      <c r="D41" s="82" t="s">
        <v>84</v>
      </c>
      <c r="E41" s="544">
        <v>0</v>
      </c>
      <c r="F41" s="544" t="s">
        <v>161</v>
      </c>
      <c r="G41" s="82" t="s">
        <v>892</v>
      </c>
      <c r="H41" s="19" t="s">
        <v>62</v>
      </c>
      <c r="I41" s="209" t="s">
        <v>70</v>
      </c>
    </row>
    <row r="42" ht="142.5">
      <c r="A42" s="512"/>
      <c r="B42" s="512"/>
      <c r="C42" s="209">
        <v>24</v>
      </c>
      <c r="D42" s="82" t="s">
        <v>77</v>
      </c>
      <c r="E42" s="544">
        <v>0</v>
      </c>
      <c r="F42" s="544" t="s">
        <v>161</v>
      </c>
      <c r="G42" s="205" t="s">
        <v>863</v>
      </c>
      <c r="H42" s="19" t="s">
        <v>62</v>
      </c>
      <c r="I42" s="209" t="s">
        <v>70</v>
      </c>
    </row>
    <row r="43" ht="40.5" customHeight="1">
      <c r="A43" s="512"/>
      <c r="B43" s="512"/>
      <c r="C43" s="209">
        <v>25</v>
      </c>
      <c r="D43" s="82" t="s">
        <v>76</v>
      </c>
      <c r="E43" s="544">
        <v>0</v>
      </c>
      <c r="F43" s="544" t="s">
        <v>161</v>
      </c>
      <c r="G43" s="82" t="s">
        <v>183</v>
      </c>
      <c r="H43" s="19" t="s">
        <v>62</v>
      </c>
      <c r="I43" s="209" t="s">
        <v>70</v>
      </c>
    </row>
    <row r="44" ht="30">
      <c r="A44" s="523"/>
      <c r="B44" s="523"/>
      <c r="C44" s="209">
        <v>26</v>
      </c>
      <c r="D44" s="82" t="s">
        <v>96</v>
      </c>
      <c r="E44" s="755">
        <v>1</v>
      </c>
      <c r="F44" s="392" t="s">
        <v>30</v>
      </c>
      <c r="G44" s="68" t="s">
        <v>893</v>
      </c>
      <c r="H44" s="19" t="s">
        <v>62</v>
      </c>
      <c r="I44" s="205" t="s">
        <v>66</v>
      </c>
    </row>
    <row r="45" ht="14.25">
      <c r="C45" s="215"/>
      <c r="D45" s="102"/>
      <c r="E45" s="382">
        <f>(E19+E20+E21+E22+E23+E24+E25+E26+E27+E28+E29+E30+E31+E32+E33+E34+E36+E37+E38+E39+E40+E41+E42+E43+E44)/26</f>
        <v>0.34346153846153843</v>
      </c>
      <c r="F45" s="46"/>
      <c r="I45" s="215"/>
    </row>
    <row r="46" ht="15">
      <c r="A46" s="302" t="s">
        <v>193</v>
      </c>
      <c r="B46" s="302"/>
      <c r="C46" s="302"/>
      <c r="D46" s="302"/>
      <c r="E46" s="302"/>
      <c r="F46" s="302"/>
      <c r="G46" s="302"/>
      <c r="H46" s="302"/>
      <c r="I46" s="302"/>
      <c r="J46" s="12"/>
    </row>
    <row r="47" ht="15">
      <c r="A47" s="325"/>
      <c r="B47" s="325"/>
      <c r="C47" s="325"/>
      <c r="D47" s="325"/>
      <c r="E47" s="325"/>
      <c r="F47" s="325"/>
      <c r="G47" s="325"/>
      <c r="H47" s="325"/>
      <c r="I47" s="278"/>
      <c r="J47" s="12"/>
    </row>
    <row r="48" ht="45">
      <c r="A48" s="176" t="s">
        <v>853</v>
      </c>
      <c r="B48" s="168" t="s">
        <v>883</v>
      </c>
      <c r="C48" s="169"/>
      <c r="D48" s="170"/>
      <c r="E48" s="753">
        <v>0.34000000000000002</v>
      </c>
      <c r="F48" s="813" t="s">
        <v>13</v>
      </c>
      <c r="G48" s="168" t="s">
        <v>894</v>
      </c>
      <c r="H48" s="169"/>
      <c r="I48" s="170"/>
      <c r="J48" s="12"/>
    </row>
  </sheetData>
  <mergeCells count="12">
    <mergeCell ref="E2:F2"/>
    <mergeCell ref="A3:A11"/>
    <mergeCell ref="B3:B11"/>
    <mergeCell ref="A13:I13"/>
    <mergeCell ref="B15:D15"/>
    <mergeCell ref="G15:I15"/>
    <mergeCell ref="E18:F18"/>
    <mergeCell ref="A19:A44"/>
    <mergeCell ref="B19:B44"/>
    <mergeCell ref="A46:I46"/>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5" zoomScale="100" workbookViewId="0">
      <selection activeCell="A1" activeCellId="0" sqref="A1"/>
    </sheetView>
  </sheetViews>
  <sheetFormatPr defaultRowHeight="14.25"/>
  <cols>
    <col customWidth="1" min="1" max="1" width="19.57421875"/>
    <col customWidth="1" min="2" max="2" width="23.57421875"/>
    <col customWidth="1" min="4" max="4" width="30.140625"/>
    <col customWidth="1" min="6" max="6" width="14.8515625"/>
    <col customWidth="1" min="7" max="7" width="75.8515625"/>
    <col customWidth="1" min="9" max="9" width="20.8515625"/>
  </cols>
  <sheetData>
    <row r="1" ht="30.75" customHeight="1">
      <c r="A1" s="814" t="s">
        <v>895</v>
      </c>
      <c r="B1" s="815"/>
      <c r="C1" s="815"/>
      <c r="D1" s="815"/>
      <c r="E1" s="815"/>
      <c r="F1" s="815"/>
      <c r="G1" s="815"/>
      <c r="H1" s="815"/>
      <c r="I1" s="815"/>
    </row>
    <row r="2" ht="30">
      <c r="A2" s="285" t="s">
        <v>154</v>
      </c>
      <c r="B2" s="285" t="s">
        <v>127</v>
      </c>
      <c r="C2" s="285" t="s">
        <v>5</v>
      </c>
      <c r="D2" s="223" t="s">
        <v>155</v>
      </c>
      <c r="E2" s="221" t="s">
        <v>8</v>
      </c>
      <c r="F2" s="222"/>
      <c r="G2" s="223" t="s">
        <v>156</v>
      </c>
      <c r="H2" s="805" t="s">
        <v>230</v>
      </c>
      <c r="I2" s="223" t="s">
        <v>158</v>
      </c>
      <c r="J2" s="12"/>
    </row>
    <row r="3" ht="44.25" customHeight="1">
      <c r="A3" s="510" t="s">
        <v>896</v>
      </c>
      <c r="B3" s="510" t="s">
        <v>897</v>
      </c>
      <c r="C3" s="156">
        <v>1</v>
      </c>
      <c r="D3" s="347" t="s">
        <v>29</v>
      </c>
      <c r="E3" s="651">
        <v>1</v>
      </c>
      <c r="F3" s="392" t="s">
        <v>30</v>
      </c>
      <c r="G3" s="347" t="s">
        <v>898</v>
      </c>
      <c r="H3" s="292" t="s">
        <v>14</v>
      </c>
      <c r="I3" s="147" t="s">
        <v>15</v>
      </c>
      <c r="J3" s="12"/>
    </row>
    <row r="4" ht="87.75" customHeight="1">
      <c r="A4" s="512"/>
      <c r="B4" s="512"/>
      <c r="C4" s="156">
        <v>2</v>
      </c>
      <c r="D4" s="347" t="s">
        <v>26</v>
      </c>
      <c r="E4" s="651">
        <v>1</v>
      </c>
      <c r="F4" s="392" t="s">
        <v>30</v>
      </c>
      <c r="G4" s="806" t="s">
        <v>899</v>
      </c>
      <c r="H4" s="292" t="s">
        <v>14</v>
      </c>
      <c r="I4" s="147" t="s">
        <v>15</v>
      </c>
      <c r="J4" s="12"/>
    </row>
    <row r="5" ht="42.75">
      <c r="A5" s="512"/>
      <c r="B5" s="512"/>
      <c r="C5" s="156">
        <v>3</v>
      </c>
      <c r="D5" s="347" t="s">
        <v>12</v>
      </c>
      <c r="E5" s="649">
        <v>0</v>
      </c>
      <c r="F5" s="544" t="s">
        <v>161</v>
      </c>
      <c r="G5" s="264" t="s">
        <v>900</v>
      </c>
      <c r="H5" s="292" t="s">
        <v>14</v>
      </c>
      <c r="I5" s="147" t="s">
        <v>15</v>
      </c>
      <c r="J5" s="12"/>
    </row>
    <row r="6" ht="108.75" customHeight="1">
      <c r="A6" s="512"/>
      <c r="B6" s="512"/>
      <c r="C6" s="156">
        <v>4</v>
      </c>
      <c r="D6" s="238" t="s">
        <v>20</v>
      </c>
      <c r="E6" s="649">
        <v>0</v>
      </c>
      <c r="F6" s="544" t="s">
        <v>161</v>
      </c>
      <c r="G6" s="342" t="s">
        <v>901</v>
      </c>
      <c r="H6" s="292" t="s">
        <v>14</v>
      </c>
      <c r="I6" s="147" t="s">
        <v>15</v>
      </c>
      <c r="J6" s="730"/>
    </row>
    <row r="7" ht="30">
      <c r="A7" s="512"/>
      <c r="B7" s="512"/>
      <c r="C7" s="156">
        <v>5</v>
      </c>
      <c r="D7" s="27" t="s">
        <v>23</v>
      </c>
      <c r="E7" s="651">
        <v>1</v>
      </c>
      <c r="F7" s="392" t="s">
        <v>30</v>
      </c>
      <c r="G7" s="347" t="s">
        <v>902</v>
      </c>
      <c r="H7" s="292" t="s">
        <v>14</v>
      </c>
      <c r="I7" s="147" t="s">
        <v>15</v>
      </c>
      <c r="J7" s="730"/>
    </row>
    <row r="8" ht="85.5">
      <c r="A8" s="512"/>
      <c r="B8" s="512"/>
      <c r="C8" s="156">
        <v>6</v>
      </c>
      <c r="D8" s="595" t="s">
        <v>22</v>
      </c>
      <c r="E8" s="649">
        <v>0</v>
      </c>
      <c r="F8" s="544" t="s">
        <v>161</v>
      </c>
      <c r="G8" s="347" t="s">
        <v>903</v>
      </c>
      <c r="H8" s="292" t="s">
        <v>14</v>
      </c>
      <c r="I8" s="147" t="s">
        <v>15</v>
      </c>
      <c r="J8" s="12"/>
    </row>
    <row r="9" ht="128.25">
      <c r="A9" s="512"/>
      <c r="B9" s="512"/>
      <c r="C9" s="156">
        <v>7</v>
      </c>
      <c r="D9" s="347" t="s">
        <v>19</v>
      </c>
      <c r="E9" s="649">
        <v>0</v>
      </c>
      <c r="F9" s="544" t="s">
        <v>161</v>
      </c>
      <c r="G9" s="347" t="s">
        <v>904</v>
      </c>
      <c r="H9" s="292" t="s">
        <v>14</v>
      </c>
      <c r="I9" s="147" t="s">
        <v>15</v>
      </c>
      <c r="J9" s="12"/>
    </row>
    <row r="10" ht="75">
      <c r="A10" s="512"/>
      <c r="B10" s="512"/>
      <c r="C10" s="156">
        <v>8</v>
      </c>
      <c r="D10" s="347" t="s">
        <v>32</v>
      </c>
      <c r="E10" s="651">
        <v>1</v>
      </c>
      <c r="F10" s="392" t="s">
        <v>30</v>
      </c>
      <c r="G10" s="268" t="s">
        <v>905</v>
      </c>
      <c r="H10" s="229" t="s">
        <v>168</v>
      </c>
      <c r="I10" s="147" t="s">
        <v>15</v>
      </c>
      <c r="J10" s="337"/>
    </row>
    <row r="11" ht="135">
      <c r="A11" s="523"/>
      <c r="B11" s="523"/>
      <c r="C11" s="156">
        <v>9</v>
      </c>
      <c r="D11" s="347" t="s">
        <v>17</v>
      </c>
      <c r="E11" s="649">
        <v>0</v>
      </c>
      <c r="F11" s="544" t="s">
        <v>161</v>
      </c>
      <c r="G11" s="268" t="s">
        <v>906</v>
      </c>
      <c r="H11" s="292" t="s">
        <v>14</v>
      </c>
      <c r="I11" s="147" t="s">
        <v>15</v>
      </c>
      <c r="J11" s="337"/>
    </row>
    <row r="12" ht="15">
      <c r="A12" s="816"/>
      <c r="B12" s="816"/>
      <c r="C12" s="816"/>
      <c r="D12" s="816"/>
      <c r="E12" s="698">
        <f>(E3+E4+E5+E6+E7+E8+E9+E10+E11)/9</f>
        <v>0.44444444444444442</v>
      </c>
      <c r="F12" s="816"/>
      <c r="G12" s="816"/>
      <c r="H12" s="816"/>
      <c r="I12" s="246"/>
      <c r="J12" s="12"/>
    </row>
    <row r="13" ht="15">
      <c r="A13" s="302" t="s">
        <v>193</v>
      </c>
      <c r="B13" s="302"/>
      <c r="C13" s="302"/>
      <c r="D13" s="302"/>
      <c r="E13" s="302"/>
      <c r="F13" s="302"/>
      <c r="G13" s="302"/>
      <c r="H13" s="302"/>
      <c r="I13" s="302"/>
      <c r="J13" s="12"/>
    </row>
    <row r="14" ht="15">
      <c r="A14" s="325"/>
      <c r="B14" s="325"/>
      <c r="C14" s="325"/>
      <c r="D14" s="325"/>
      <c r="E14" s="325"/>
      <c r="F14" s="325"/>
      <c r="G14" s="325"/>
      <c r="H14" s="325"/>
      <c r="I14" s="278"/>
      <c r="J14" s="12"/>
    </row>
    <row r="15" ht="60">
      <c r="A15" s="176" t="s">
        <v>853</v>
      </c>
      <c r="B15" s="168" t="s">
        <v>883</v>
      </c>
      <c r="C15" s="169"/>
      <c r="D15" s="170"/>
      <c r="E15" s="817">
        <v>0.44</v>
      </c>
      <c r="F15" s="818" t="s">
        <v>24</v>
      </c>
      <c r="G15" s="168" t="s">
        <v>907</v>
      </c>
      <c r="H15" s="169"/>
      <c r="I15" s="170"/>
      <c r="J15" s="12"/>
    </row>
    <row r="16">
      <c r="A16" s="12"/>
      <c r="B16" s="12"/>
      <c r="C16" s="12"/>
      <c r="D16" s="12"/>
      <c r="E16" s="12"/>
      <c r="F16" s="12"/>
      <c r="G16" s="12"/>
      <c r="H16" s="12"/>
      <c r="I16" s="215"/>
      <c r="J16" s="12"/>
    </row>
    <row r="17">
      <c r="A17" s="12"/>
      <c r="B17" s="12"/>
      <c r="C17" s="12"/>
      <c r="D17" s="12"/>
      <c r="E17" s="12"/>
      <c r="F17" s="12"/>
      <c r="G17" s="12"/>
      <c r="H17" s="12"/>
      <c r="I17" s="215"/>
      <c r="J17" s="12"/>
    </row>
    <row r="18" ht="15">
      <c r="A18" s="814" t="s">
        <v>908</v>
      </c>
      <c r="B18" s="815"/>
      <c r="C18" s="815"/>
      <c r="D18" s="815"/>
      <c r="E18" s="815"/>
      <c r="F18" s="815"/>
      <c r="G18" s="815"/>
      <c r="H18" s="815"/>
      <c r="I18" s="815"/>
      <c r="J18" s="12"/>
    </row>
    <row r="19" ht="30">
      <c r="A19" s="285" t="s">
        <v>154</v>
      </c>
      <c r="B19" s="285" t="s">
        <v>127</v>
      </c>
      <c r="C19" s="285" t="s">
        <v>5</v>
      </c>
      <c r="D19" s="223" t="s">
        <v>155</v>
      </c>
      <c r="E19" s="221" t="s">
        <v>8</v>
      </c>
      <c r="F19" s="222"/>
      <c r="G19" s="223" t="s">
        <v>156</v>
      </c>
      <c r="H19" s="529" t="s">
        <v>230</v>
      </c>
      <c r="I19" s="223" t="s">
        <v>158</v>
      </c>
      <c r="J19" s="12"/>
    </row>
    <row r="20" ht="42.75">
      <c r="A20" s="552" t="s">
        <v>896</v>
      </c>
      <c r="B20" s="552" t="s">
        <v>897</v>
      </c>
      <c r="C20" s="156">
        <v>1</v>
      </c>
      <c r="D20" s="347" t="s">
        <v>173</v>
      </c>
      <c r="E20" s="649">
        <v>0</v>
      </c>
      <c r="F20" s="544" t="s">
        <v>161</v>
      </c>
      <c r="G20" s="347" t="s">
        <v>909</v>
      </c>
      <c r="H20" s="292" t="s">
        <v>62</v>
      </c>
      <c r="I20" s="261" t="s">
        <v>66</v>
      </c>
      <c r="J20" s="12"/>
    </row>
    <row r="21" ht="71.25">
      <c r="A21" s="552"/>
      <c r="B21" s="552"/>
      <c r="C21" s="156">
        <v>2</v>
      </c>
      <c r="D21" s="347" t="s">
        <v>211</v>
      </c>
      <c r="E21" s="651">
        <v>1</v>
      </c>
      <c r="F21" s="392" t="s">
        <v>30</v>
      </c>
      <c r="G21" s="806" t="s">
        <v>910</v>
      </c>
      <c r="H21" s="292" t="s">
        <v>62</v>
      </c>
      <c r="I21" s="261" t="s">
        <v>66</v>
      </c>
      <c r="J21" s="12"/>
    </row>
    <row r="22" ht="114">
      <c r="A22" s="552"/>
      <c r="B22" s="552"/>
      <c r="C22" s="819">
        <v>3</v>
      </c>
      <c r="D22" s="347" t="s">
        <v>104</v>
      </c>
      <c r="E22" s="689">
        <v>0.90000000000000002</v>
      </c>
      <c r="F22" s="392" t="s">
        <v>30</v>
      </c>
      <c r="G22" s="264" t="s">
        <v>911</v>
      </c>
      <c r="H22" s="19" t="s">
        <v>62</v>
      </c>
      <c r="I22" s="261" t="s">
        <v>63</v>
      </c>
      <c r="J22" s="12"/>
    </row>
    <row r="23" ht="185.25">
      <c r="A23" s="552"/>
      <c r="B23" s="552"/>
      <c r="C23" s="819">
        <v>4</v>
      </c>
      <c r="D23" s="811" t="s">
        <v>94</v>
      </c>
      <c r="E23" s="651">
        <v>1</v>
      </c>
      <c r="F23" s="392" t="s">
        <v>30</v>
      </c>
      <c r="G23" s="820" t="s">
        <v>912</v>
      </c>
      <c r="H23" s="19" t="s">
        <v>62</v>
      </c>
      <c r="I23" s="265" t="s">
        <v>66</v>
      </c>
      <c r="J23" s="12"/>
    </row>
    <row r="24" ht="30">
      <c r="A24" s="552"/>
      <c r="B24" s="552"/>
      <c r="C24" s="819">
        <v>5</v>
      </c>
      <c r="D24" s="261" t="s">
        <v>65</v>
      </c>
      <c r="E24" s="649">
        <v>0</v>
      </c>
      <c r="F24" s="544" t="s">
        <v>161</v>
      </c>
      <c r="G24" s="347" t="s">
        <v>913</v>
      </c>
      <c r="H24" s="19" t="s">
        <v>62</v>
      </c>
      <c r="I24" s="229" t="s">
        <v>66</v>
      </c>
      <c r="J24" s="12"/>
    </row>
    <row r="25" ht="42.75">
      <c r="A25" s="552"/>
      <c r="B25" s="552"/>
      <c r="C25" s="819">
        <v>6</v>
      </c>
      <c r="D25" s="347" t="s">
        <v>79</v>
      </c>
      <c r="E25" s="649">
        <v>0</v>
      </c>
      <c r="F25" s="544" t="s">
        <v>161</v>
      </c>
      <c r="G25" s="774" t="s">
        <v>914</v>
      </c>
      <c r="H25" s="19" t="s">
        <v>62</v>
      </c>
      <c r="I25" s="243" t="s">
        <v>63</v>
      </c>
      <c r="J25" s="12"/>
    </row>
    <row r="26" ht="57">
      <c r="A26" s="552"/>
      <c r="B26" s="552"/>
      <c r="C26" s="819">
        <v>7</v>
      </c>
      <c r="D26" s="595" t="s">
        <v>100</v>
      </c>
      <c r="E26" s="651">
        <v>1</v>
      </c>
      <c r="F26" s="392" t="s">
        <v>30</v>
      </c>
      <c r="G26" s="260" t="s">
        <v>915</v>
      </c>
      <c r="H26" s="19" t="s">
        <v>62</v>
      </c>
      <c r="I26" s="243" t="s">
        <v>63</v>
      </c>
      <c r="J26" s="12"/>
    </row>
    <row r="27" ht="99.75">
      <c r="A27" s="552"/>
      <c r="B27" s="552"/>
      <c r="C27" s="821">
        <v>8</v>
      </c>
      <c r="D27" s="206" t="s">
        <v>90</v>
      </c>
      <c r="E27" s="651">
        <v>1</v>
      </c>
      <c r="F27" s="392" t="s">
        <v>30</v>
      </c>
      <c r="G27" s="26" t="s">
        <v>916</v>
      </c>
      <c r="H27" s="19" t="s">
        <v>62</v>
      </c>
      <c r="I27" s="243" t="s">
        <v>70</v>
      </c>
      <c r="J27" s="12"/>
    </row>
    <row r="28" ht="42.75">
      <c r="A28" s="552"/>
      <c r="B28" s="552"/>
      <c r="C28" s="821">
        <v>9</v>
      </c>
      <c r="D28" s="822" t="s">
        <v>98</v>
      </c>
      <c r="E28" s="651">
        <v>0.89000000000000001</v>
      </c>
      <c r="F28" s="392" t="s">
        <v>30</v>
      </c>
      <c r="G28" s="26" t="s">
        <v>917</v>
      </c>
      <c r="H28" s="19" t="s">
        <v>62</v>
      </c>
      <c r="I28" s="243" t="s">
        <v>70</v>
      </c>
      <c r="J28" s="12"/>
    </row>
    <row r="29" ht="30">
      <c r="A29" s="552"/>
      <c r="B29" s="552"/>
      <c r="C29" s="821">
        <v>10</v>
      </c>
      <c r="D29" s="822" t="s">
        <v>82</v>
      </c>
      <c r="E29" s="649">
        <v>0</v>
      </c>
      <c r="F29" s="544" t="s">
        <v>161</v>
      </c>
      <c r="G29" s="822"/>
      <c r="H29" s="19" t="s">
        <v>62</v>
      </c>
      <c r="I29" s="243" t="s">
        <v>66</v>
      </c>
      <c r="J29" s="12"/>
    </row>
    <row r="30" ht="57">
      <c r="A30" s="552"/>
      <c r="B30" s="552"/>
      <c r="C30" s="821">
        <v>11</v>
      </c>
      <c r="D30" s="26" t="s">
        <v>69</v>
      </c>
      <c r="E30" s="649">
        <v>0</v>
      </c>
      <c r="F30" s="544" t="s">
        <v>161</v>
      </c>
      <c r="G30" s="26"/>
      <c r="H30" s="19" t="s">
        <v>62</v>
      </c>
      <c r="I30" s="243" t="s">
        <v>70</v>
      </c>
      <c r="J30" s="12"/>
    </row>
    <row r="31" ht="30">
      <c r="A31" s="552"/>
      <c r="B31" s="552"/>
      <c r="C31" s="821">
        <v>12</v>
      </c>
      <c r="D31" s="822" t="s">
        <v>61</v>
      </c>
      <c r="E31" s="649">
        <v>0</v>
      </c>
      <c r="F31" s="544" t="s">
        <v>161</v>
      </c>
      <c r="G31" s="822" t="s">
        <v>918</v>
      </c>
      <c r="H31" s="19" t="s">
        <v>62</v>
      </c>
      <c r="I31" s="243" t="s">
        <v>70</v>
      </c>
      <c r="J31" s="12"/>
    </row>
    <row r="32" ht="30">
      <c r="A32" s="552"/>
      <c r="B32" s="552"/>
      <c r="C32" s="821">
        <v>13</v>
      </c>
      <c r="D32" s="822" t="s">
        <v>67</v>
      </c>
      <c r="E32" s="544">
        <v>0</v>
      </c>
      <c r="F32" s="544" t="s">
        <v>161</v>
      </c>
      <c r="G32" s="26"/>
      <c r="H32" s="19" t="s">
        <v>62</v>
      </c>
      <c r="I32" s="209" t="s">
        <v>66</v>
      </c>
      <c r="J32" s="12"/>
    </row>
    <row r="33" ht="30">
      <c r="A33" s="552"/>
      <c r="B33" s="552"/>
      <c r="C33" s="821">
        <v>14</v>
      </c>
      <c r="D33" s="822" t="s">
        <v>85</v>
      </c>
      <c r="E33" s="544">
        <v>0</v>
      </c>
      <c r="F33" s="544" t="s">
        <v>161</v>
      </c>
      <c r="G33" s="822"/>
      <c r="H33" s="19" t="s">
        <v>62</v>
      </c>
      <c r="I33" s="205" t="s">
        <v>70</v>
      </c>
      <c r="J33" s="12"/>
    </row>
    <row r="34" ht="42.75">
      <c r="A34" s="552"/>
      <c r="B34" s="552"/>
      <c r="C34" s="821">
        <v>15</v>
      </c>
      <c r="D34" s="822" t="s">
        <v>185</v>
      </c>
      <c r="E34" s="544">
        <v>0</v>
      </c>
      <c r="F34" s="544" t="s">
        <v>161</v>
      </c>
      <c r="G34" s="822"/>
      <c r="H34" s="19" t="s">
        <v>62</v>
      </c>
      <c r="I34" s="209" t="s">
        <v>63</v>
      </c>
      <c r="J34" s="12"/>
    </row>
    <row r="35" ht="42.75">
      <c r="A35" s="552"/>
      <c r="B35" s="552"/>
      <c r="C35" s="821">
        <v>16</v>
      </c>
      <c r="D35" s="822" t="s">
        <v>72</v>
      </c>
      <c r="E35" s="544">
        <v>0</v>
      </c>
      <c r="F35" s="544" t="s">
        <v>161</v>
      </c>
      <c r="G35" s="822"/>
      <c r="H35" s="19" t="s">
        <v>62</v>
      </c>
      <c r="I35" s="209" t="s">
        <v>66</v>
      </c>
      <c r="J35" s="12"/>
    </row>
    <row r="36" ht="42.75">
      <c r="A36" s="552"/>
      <c r="B36" s="552"/>
      <c r="C36" s="821">
        <v>17</v>
      </c>
      <c r="D36" s="822" t="s">
        <v>88</v>
      </c>
      <c r="E36" s="823">
        <v>0.80000000000000004</v>
      </c>
      <c r="F36" s="824" t="s">
        <v>27</v>
      </c>
      <c r="G36" s="822" t="s">
        <v>919</v>
      </c>
      <c r="H36" s="19" t="s">
        <v>62</v>
      </c>
      <c r="I36" s="209" t="s">
        <v>66</v>
      </c>
      <c r="J36" s="12"/>
    </row>
    <row r="37" ht="42.75">
      <c r="A37" s="552"/>
      <c r="B37" s="552"/>
      <c r="C37" s="821">
        <v>18</v>
      </c>
      <c r="D37" s="822" t="s">
        <v>93</v>
      </c>
      <c r="E37" s="825">
        <v>1</v>
      </c>
      <c r="F37" s="310" t="s">
        <v>30</v>
      </c>
      <c r="G37" s="436" t="s">
        <v>920</v>
      </c>
      <c r="H37" s="19" t="s">
        <v>62</v>
      </c>
      <c r="I37" s="209" t="s">
        <v>66</v>
      </c>
      <c r="J37" s="12"/>
    </row>
    <row r="38" ht="42.75">
      <c r="A38" s="552"/>
      <c r="B38" s="552"/>
      <c r="C38" s="826">
        <v>19</v>
      </c>
      <c r="D38" s="822" t="s">
        <v>80</v>
      </c>
      <c r="E38" s="544">
        <v>0</v>
      </c>
      <c r="F38" s="544" t="s">
        <v>161</v>
      </c>
      <c r="G38" s="822"/>
      <c r="H38" s="19" t="s">
        <v>62</v>
      </c>
      <c r="I38" s="205" t="s">
        <v>70</v>
      </c>
      <c r="J38" s="12"/>
    </row>
    <row r="39" ht="28.5">
      <c r="A39" s="552"/>
      <c r="B39" s="552"/>
      <c r="C39" s="826">
        <v>20</v>
      </c>
      <c r="D39" s="822" t="s">
        <v>91</v>
      </c>
      <c r="E39" s="827">
        <v>0</v>
      </c>
      <c r="F39" s="771" t="s">
        <v>58</v>
      </c>
      <c r="G39" s="822"/>
      <c r="H39" s="19" t="s">
        <v>62</v>
      </c>
      <c r="I39" s="205" t="s">
        <v>70</v>
      </c>
      <c r="J39" s="12"/>
    </row>
    <row r="40" ht="28.5">
      <c r="A40" s="552"/>
      <c r="B40" s="552"/>
      <c r="C40" s="826">
        <v>21</v>
      </c>
      <c r="D40" s="822" t="s">
        <v>92</v>
      </c>
      <c r="E40" s="825">
        <v>1</v>
      </c>
      <c r="F40" s="310" t="s">
        <v>30</v>
      </c>
      <c r="G40" s="822" t="s">
        <v>921</v>
      </c>
      <c r="H40" s="19" t="s">
        <v>62</v>
      </c>
      <c r="I40" s="205" t="s">
        <v>63</v>
      </c>
      <c r="J40" s="12"/>
    </row>
    <row r="41" ht="57">
      <c r="A41" s="552"/>
      <c r="B41" s="552"/>
      <c r="C41" s="826">
        <v>22</v>
      </c>
      <c r="D41" s="822" t="s">
        <v>74</v>
      </c>
      <c r="E41" s="544">
        <v>0</v>
      </c>
      <c r="F41" s="544" t="s">
        <v>161</v>
      </c>
      <c r="G41" s="822"/>
      <c r="H41" s="19" t="s">
        <v>62</v>
      </c>
      <c r="I41" s="205" t="s">
        <v>63</v>
      </c>
      <c r="J41" s="12"/>
    </row>
    <row r="42" ht="42.75">
      <c r="A42" s="552"/>
      <c r="B42" s="552"/>
      <c r="C42" s="821">
        <v>23</v>
      </c>
      <c r="D42" s="822" t="s">
        <v>84</v>
      </c>
      <c r="E42" s="544">
        <v>0</v>
      </c>
      <c r="F42" s="544" t="s">
        <v>161</v>
      </c>
      <c r="G42" s="822"/>
      <c r="H42" s="19" t="s">
        <v>62</v>
      </c>
      <c r="I42" s="205" t="s">
        <v>70</v>
      </c>
      <c r="J42" s="12"/>
    </row>
    <row r="43" ht="114">
      <c r="A43" s="552"/>
      <c r="B43" s="552"/>
      <c r="C43" s="821">
        <v>24</v>
      </c>
      <c r="D43" s="822" t="s">
        <v>77</v>
      </c>
      <c r="E43" s="544">
        <v>0</v>
      </c>
      <c r="F43" s="544" t="s">
        <v>161</v>
      </c>
      <c r="G43" s="26"/>
      <c r="H43" s="19" t="s">
        <v>62</v>
      </c>
      <c r="I43" s="205" t="s">
        <v>70</v>
      </c>
      <c r="J43" s="12"/>
    </row>
    <row r="44" ht="30">
      <c r="A44" s="552"/>
      <c r="B44" s="552"/>
      <c r="C44" s="821">
        <v>25</v>
      </c>
      <c r="D44" s="828" t="s">
        <v>76</v>
      </c>
      <c r="E44" s="544">
        <v>0</v>
      </c>
      <c r="F44" s="544" t="s">
        <v>161</v>
      </c>
      <c r="G44" s="822"/>
      <c r="H44" s="19" t="s">
        <v>62</v>
      </c>
      <c r="I44" s="209" t="s">
        <v>70</v>
      </c>
      <c r="J44" s="12"/>
    </row>
    <row r="45" ht="30">
      <c r="A45" s="552"/>
      <c r="B45" s="552"/>
      <c r="C45" s="821">
        <v>26</v>
      </c>
      <c r="D45" s="822" t="s">
        <v>96</v>
      </c>
      <c r="E45" s="544">
        <v>0</v>
      </c>
      <c r="F45" s="544" t="s">
        <v>161</v>
      </c>
      <c r="G45" s="822" t="s">
        <v>922</v>
      </c>
      <c r="H45" s="19" t="s">
        <v>62</v>
      </c>
      <c r="I45" s="209" t="s">
        <v>66</v>
      </c>
      <c r="J45" s="12"/>
    </row>
    <row r="46">
      <c r="A46" s="12"/>
      <c r="B46" s="12"/>
      <c r="C46" s="12"/>
      <c r="D46" s="12"/>
      <c r="E46" s="829">
        <f>(E20+E21+E22+E23+E24+E25+E26+E27+E28+E29+E30+E31+E32+E33+E34+E35+E36+E37+E38+E39+E40+E41+E42+E43+E44+E45)/26</f>
        <v>0.33038461538461539</v>
      </c>
      <c r="F46" s="12"/>
      <c r="G46" s="12"/>
      <c r="H46" s="12"/>
      <c r="I46" s="215"/>
      <c r="J46" s="12"/>
    </row>
    <row r="47" ht="16.5" customHeight="1">
      <c r="A47" s="302" t="s">
        <v>193</v>
      </c>
      <c r="B47" s="302"/>
      <c r="C47" s="302"/>
      <c r="D47" s="302"/>
      <c r="E47" s="302"/>
      <c r="F47" s="302"/>
      <c r="G47" s="302"/>
      <c r="H47" s="302"/>
      <c r="I47" s="302"/>
      <c r="J47" s="12"/>
    </row>
    <row r="48" ht="15">
      <c r="A48" s="325"/>
      <c r="B48" s="325"/>
      <c r="C48" s="325"/>
      <c r="D48" s="325"/>
      <c r="E48" s="325"/>
      <c r="F48" s="325"/>
      <c r="G48" s="325"/>
      <c r="H48" s="325"/>
      <c r="I48" s="278"/>
      <c r="J48" s="12"/>
    </row>
    <row r="49" ht="60">
      <c r="A49" s="176" t="s">
        <v>853</v>
      </c>
      <c r="B49" s="168" t="s">
        <v>923</v>
      </c>
      <c r="C49" s="169"/>
      <c r="D49" s="170"/>
      <c r="E49" s="753">
        <v>0.33000000000000002</v>
      </c>
      <c r="F49" s="813" t="s">
        <v>13</v>
      </c>
      <c r="G49" s="168"/>
      <c r="H49" s="169"/>
      <c r="I49" s="170"/>
      <c r="J49" s="12"/>
    </row>
    <row r="56" ht="14.25">
      <c r="I56" s="102"/>
    </row>
    <row r="65" ht="14.25">
      <c r="L65" s="102"/>
    </row>
  </sheetData>
  <mergeCells count="12">
    <mergeCell ref="E2:F2"/>
    <mergeCell ref="A3:A11"/>
    <mergeCell ref="B3:B11"/>
    <mergeCell ref="A13:I13"/>
    <mergeCell ref="B15:D15"/>
    <mergeCell ref="G15:I15"/>
    <mergeCell ref="E19:F19"/>
    <mergeCell ref="A20:A44"/>
    <mergeCell ref="B20:B44"/>
    <mergeCell ref="A47:I47"/>
    <mergeCell ref="B49:D49"/>
    <mergeCell ref="G49:I49"/>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40" zoomScale="100" workbookViewId="0">
      <selection activeCell="A1" activeCellId="0" sqref="A1"/>
    </sheetView>
  </sheetViews>
  <sheetFormatPr defaultRowHeight="14.25"/>
  <cols>
    <col customWidth="1" min="1" max="1" width="16.57421875"/>
    <col customWidth="1" min="2" max="2" width="20.421875"/>
    <col customWidth="1" min="3" max="3" width="5.140625"/>
    <col customWidth="1" min="4" max="4" width="63.7109375"/>
    <col customWidth="1" min="6" max="6" width="22.28125"/>
    <col customWidth="1" min="7" max="7" width="77.00390625"/>
    <col customWidth="1" min="8" max="8" width="9.7109375"/>
    <col customWidth="1" min="9" max="9" width="22.28125"/>
    <col customWidth="1" min="10" max="10" width="34.8515625"/>
  </cols>
  <sheetData>
    <row r="1" ht="14.25">
      <c r="A1" s="614" t="s">
        <v>924</v>
      </c>
      <c r="B1" s="614"/>
      <c r="C1" s="614"/>
      <c r="D1" s="614"/>
      <c r="E1" s="614"/>
      <c r="F1" s="614"/>
      <c r="G1" s="614"/>
      <c r="H1" s="614"/>
      <c r="I1" s="614"/>
      <c r="J1" s="46"/>
    </row>
    <row r="2" ht="30">
      <c r="A2" s="830" t="s">
        <v>154</v>
      </c>
      <c r="B2" s="285" t="s">
        <v>127</v>
      </c>
      <c r="C2" s="285" t="s">
        <v>5</v>
      </c>
      <c r="D2" s="223" t="s">
        <v>155</v>
      </c>
      <c r="E2" s="221" t="s">
        <v>8</v>
      </c>
      <c r="F2" s="222"/>
      <c r="G2" s="223" t="s">
        <v>156</v>
      </c>
      <c r="H2" s="529" t="s">
        <v>230</v>
      </c>
      <c r="I2" s="223" t="s">
        <v>158</v>
      </c>
    </row>
    <row r="3" ht="57">
      <c r="A3" s="831" t="s">
        <v>925</v>
      </c>
      <c r="B3" s="413" t="s">
        <v>926</v>
      </c>
      <c r="C3" s="156">
        <v>1</v>
      </c>
      <c r="D3" s="347" t="s">
        <v>29</v>
      </c>
      <c r="E3" s="651">
        <v>1</v>
      </c>
      <c r="F3" s="392" t="s">
        <v>30</v>
      </c>
      <c r="G3" s="756" t="s">
        <v>927</v>
      </c>
      <c r="H3" s="292" t="s">
        <v>14</v>
      </c>
      <c r="I3" s="147" t="s">
        <v>15</v>
      </c>
    </row>
    <row r="4" ht="74.25" customHeight="1">
      <c r="A4" s="832"/>
      <c r="B4" s="807"/>
      <c r="C4" s="156">
        <v>2</v>
      </c>
      <c r="D4" s="603" t="s">
        <v>26</v>
      </c>
      <c r="E4" s="304">
        <v>0.5</v>
      </c>
      <c r="F4" s="304" t="s">
        <v>24</v>
      </c>
      <c r="G4" s="756" t="s">
        <v>928</v>
      </c>
      <c r="H4" s="292" t="s">
        <v>14</v>
      </c>
      <c r="I4" s="147" t="s">
        <v>15</v>
      </c>
    </row>
    <row r="5" ht="66.75" customHeight="1">
      <c r="A5" s="832"/>
      <c r="B5" s="807"/>
      <c r="C5" s="156">
        <v>3</v>
      </c>
      <c r="D5" s="347" t="s">
        <v>12</v>
      </c>
      <c r="E5" s="544">
        <v>0</v>
      </c>
      <c r="F5" s="544" t="s">
        <v>161</v>
      </c>
      <c r="G5" s="264" t="s">
        <v>929</v>
      </c>
      <c r="H5" s="292" t="s">
        <v>14</v>
      </c>
      <c r="I5" s="147" t="s">
        <v>15</v>
      </c>
    </row>
    <row r="6" ht="78" customHeight="1">
      <c r="A6" s="832"/>
      <c r="B6" s="807"/>
      <c r="C6" s="156">
        <v>4</v>
      </c>
      <c r="D6" s="238" t="s">
        <v>20</v>
      </c>
      <c r="E6" s="544">
        <v>0</v>
      </c>
      <c r="F6" s="544" t="s">
        <v>161</v>
      </c>
      <c r="G6" s="401" t="s">
        <v>930</v>
      </c>
      <c r="H6" s="292" t="s">
        <v>14</v>
      </c>
      <c r="I6" s="147" t="s">
        <v>15</v>
      </c>
      <c r="J6" s="337"/>
    </row>
    <row r="7" ht="58.5" customHeight="1">
      <c r="A7" s="832"/>
      <c r="B7" s="807"/>
      <c r="C7" s="156">
        <v>5</v>
      </c>
      <c r="D7" s="27" t="s">
        <v>23</v>
      </c>
      <c r="E7" s="544">
        <v>0</v>
      </c>
      <c r="F7" s="544" t="s">
        <v>161</v>
      </c>
      <c r="G7" s="402" t="s">
        <v>931</v>
      </c>
      <c r="H7" s="292" t="s">
        <v>14</v>
      </c>
      <c r="I7" s="147" t="s">
        <v>15</v>
      </c>
      <c r="J7" s="337"/>
    </row>
    <row r="8" ht="69" customHeight="1">
      <c r="A8" s="832"/>
      <c r="B8" s="807"/>
      <c r="C8" s="156">
        <v>6</v>
      </c>
      <c r="D8" s="347" t="s">
        <v>22</v>
      </c>
      <c r="E8" s="544">
        <v>0</v>
      </c>
      <c r="F8" s="544" t="s">
        <v>161</v>
      </c>
      <c r="G8" s="309" t="s">
        <v>932</v>
      </c>
      <c r="H8" s="292" t="s">
        <v>14</v>
      </c>
      <c r="I8" s="147" t="s">
        <v>15</v>
      </c>
    </row>
    <row r="9" ht="42.75" customHeight="1">
      <c r="A9" s="832"/>
      <c r="B9" s="807"/>
      <c r="C9" s="156">
        <v>7</v>
      </c>
      <c r="D9" s="347" t="s">
        <v>19</v>
      </c>
      <c r="E9" s="544">
        <v>0</v>
      </c>
      <c r="F9" s="544" t="s">
        <v>161</v>
      </c>
      <c r="G9" s="402" t="s">
        <v>933</v>
      </c>
      <c r="H9" s="292" t="s">
        <v>14</v>
      </c>
      <c r="I9" s="18" t="s">
        <v>15</v>
      </c>
    </row>
    <row r="10" ht="69.75" customHeight="1">
      <c r="A10" s="832"/>
      <c r="B10" s="807"/>
      <c r="C10" s="156">
        <v>8</v>
      </c>
      <c r="D10" s="347" t="s">
        <v>32</v>
      </c>
      <c r="E10" s="19" t="s">
        <v>250</v>
      </c>
      <c r="F10" s="147" t="s">
        <v>251</v>
      </c>
      <c r="G10" s="402" t="s">
        <v>284</v>
      </c>
      <c r="H10" s="229" t="s">
        <v>168</v>
      </c>
      <c r="I10" s="18" t="s">
        <v>15</v>
      </c>
    </row>
    <row r="11" ht="74.25" customHeight="1">
      <c r="A11" s="833"/>
      <c r="B11" s="422"/>
      <c r="C11" s="156">
        <v>9</v>
      </c>
      <c r="D11" s="87" t="s">
        <v>17</v>
      </c>
      <c r="E11" s="544">
        <v>0</v>
      </c>
      <c r="F11" s="544" t="s">
        <v>161</v>
      </c>
      <c r="G11" s="834" t="s">
        <v>934</v>
      </c>
      <c r="H11" s="292" t="s">
        <v>14</v>
      </c>
      <c r="I11" s="835" t="s">
        <v>15</v>
      </c>
    </row>
    <row r="12" ht="15">
      <c r="B12" s="275"/>
      <c r="C12" s="275"/>
      <c r="D12" s="275"/>
      <c r="E12" s="462">
        <f>(E3+E4+E5+E6+E7+E8+E9+E11)/8</f>
        <v>0.1875</v>
      </c>
      <c r="F12" s="275"/>
      <c r="G12" s="275"/>
      <c r="H12" s="275"/>
      <c r="I12" s="275"/>
    </row>
    <row r="13" ht="15">
      <c r="A13" s="302" t="s">
        <v>193</v>
      </c>
      <c r="B13" s="302"/>
      <c r="C13" s="302"/>
      <c r="D13" s="302"/>
      <c r="E13" s="302"/>
      <c r="F13" s="302"/>
      <c r="G13" s="302"/>
      <c r="H13" s="302"/>
      <c r="I13" s="302"/>
    </row>
    <row r="14" ht="15">
      <c r="B14" s="275"/>
      <c r="C14" s="275"/>
      <c r="D14" s="275"/>
      <c r="E14" s="275"/>
      <c r="F14" s="275"/>
      <c r="G14" s="275"/>
      <c r="H14" s="275"/>
      <c r="I14" s="275"/>
    </row>
    <row r="15" ht="84" customHeight="1">
      <c r="A15" s="268" t="s">
        <v>853</v>
      </c>
      <c r="B15" s="168" t="s">
        <v>935</v>
      </c>
      <c r="C15" s="169"/>
      <c r="D15" s="170"/>
      <c r="E15" s="836">
        <v>0.19</v>
      </c>
      <c r="F15" s="837" t="s">
        <v>58</v>
      </c>
      <c r="G15" s="168" t="s">
        <v>936</v>
      </c>
      <c r="H15" s="169"/>
      <c r="I15" s="170"/>
      <c r="J15" s="12"/>
    </row>
    <row r="16" ht="14.25"/>
    <row r="17" ht="14.25">
      <c r="A17" s="614" t="s">
        <v>908</v>
      </c>
      <c r="B17" s="614"/>
      <c r="C17" s="614"/>
      <c r="D17" s="614"/>
      <c r="E17" s="614"/>
      <c r="F17" s="614"/>
      <c r="G17" s="614"/>
      <c r="H17" s="614"/>
      <c r="I17" s="614"/>
      <c r="J17" s="46"/>
    </row>
    <row r="18" ht="30">
      <c r="A18" s="830" t="s">
        <v>154</v>
      </c>
      <c r="B18" s="285" t="s">
        <v>127</v>
      </c>
      <c r="C18" s="285" t="s">
        <v>5</v>
      </c>
      <c r="D18" s="223" t="s">
        <v>155</v>
      </c>
      <c r="E18" s="221" t="s">
        <v>8</v>
      </c>
      <c r="F18" s="222"/>
      <c r="G18" s="223" t="s">
        <v>156</v>
      </c>
      <c r="H18" s="529" t="s">
        <v>230</v>
      </c>
      <c r="I18" s="223" t="s">
        <v>158</v>
      </c>
    </row>
    <row r="19" ht="71.25" customHeight="1">
      <c r="A19" s="561" t="s">
        <v>925</v>
      </c>
      <c r="B19" s="510" t="s">
        <v>926</v>
      </c>
      <c r="C19" s="156">
        <v>1</v>
      </c>
      <c r="D19" s="347" t="s">
        <v>173</v>
      </c>
      <c r="E19" s="651">
        <v>1</v>
      </c>
      <c r="F19" s="172" t="s">
        <v>30</v>
      </c>
      <c r="G19" s="756" t="s">
        <v>937</v>
      </c>
      <c r="H19" s="19" t="s">
        <v>62</v>
      </c>
      <c r="I19" s="261" t="s">
        <v>66</v>
      </c>
    </row>
    <row r="20" ht="59.25" customHeight="1">
      <c r="A20" s="563"/>
      <c r="B20" s="512"/>
      <c r="C20" s="156">
        <v>2</v>
      </c>
      <c r="D20" s="603" t="s">
        <v>211</v>
      </c>
      <c r="E20" s="234">
        <v>1</v>
      </c>
      <c r="F20" s="234" t="s">
        <v>30</v>
      </c>
      <c r="G20" s="756" t="s">
        <v>938</v>
      </c>
      <c r="H20" s="19" t="s">
        <v>62</v>
      </c>
      <c r="I20" s="261" t="s">
        <v>66</v>
      </c>
    </row>
    <row r="21" ht="57">
      <c r="A21" s="563"/>
      <c r="B21" s="512"/>
      <c r="C21" s="156">
        <v>3</v>
      </c>
      <c r="D21" s="347" t="s">
        <v>104</v>
      </c>
      <c r="E21" s="234">
        <v>1</v>
      </c>
      <c r="F21" s="234" t="s">
        <v>30</v>
      </c>
      <c r="G21" s="264" t="s">
        <v>927</v>
      </c>
      <c r="H21" s="19" t="s">
        <v>62</v>
      </c>
      <c r="I21" s="261" t="s">
        <v>63</v>
      </c>
    </row>
    <row r="22" ht="28.5">
      <c r="A22" s="563"/>
      <c r="B22" s="512"/>
      <c r="C22" s="156">
        <v>4</v>
      </c>
      <c r="D22" s="811" t="s">
        <v>94</v>
      </c>
      <c r="E22" s="291">
        <v>0</v>
      </c>
      <c r="F22" s="660" t="s">
        <v>939</v>
      </c>
      <c r="G22" s="820" t="s">
        <v>940</v>
      </c>
      <c r="H22" s="19" t="s">
        <v>62</v>
      </c>
      <c r="I22" s="265" t="s">
        <v>66</v>
      </c>
    </row>
    <row r="23" ht="30">
      <c r="A23" s="563"/>
      <c r="B23" s="512"/>
      <c r="C23" s="156">
        <v>5</v>
      </c>
      <c r="D23" s="261" t="s">
        <v>65</v>
      </c>
      <c r="E23" s="544">
        <v>0</v>
      </c>
      <c r="F23" s="544" t="s">
        <v>161</v>
      </c>
      <c r="G23" s="756" t="s">
        <v>913</v>
      </c>
      <c r="H23" s="19" t="s">
        <v>62</v>
      </c>
      <c r="I23" s="229" t="s">
        <v>66</v>
      </c>
    </row>
    <row r="24" ht="122.25" customHeight="1">
      <c r="A24" s="563"/>
      <c r="B24" s="512"/>
      <c r="C24" s="156">
        <v>6</v>
      </c>
      <c r="D24" s="347" t="s">
        <v>79</v>
      </c>
      <c r="E24" s="291">
        <v>0</v>
      </c>
      <c r="F24" s="660" t="s">
        <v>939</v>
      </c>
      <c r="G24" s="402" t="s">
        <v>941</v>
      </c>
      <c r="H24" s="19" t="s">
        <v>62</v>
      </c>
      <c r="I24" s="243" t="s">
        <v>63</v>
      </c>
    </row>
    <row r="25" ht="28.5">
      <c r="A25" s="563"/>
      <c r="B25" s="512"/>
      <c r="C25" s="156">
        <v>7</v>
      </c>
      <c r="D25" s="347" t="s">
        <v>100</v>
      </c>
      <c r="E25" s="287">
        <v>1</v>
      </c>
      <c r="F25" s="392" t="s">
        <v>30</v>
      </c>
      <c r="G25" s="756" t="s">
        <v>942</v>
      </c>
      <c r="H25" s="19" t="s">
        <v>62</v>
      </c>
      <c r="I25" s="243" t="s">
        <v>63</v>
      </c>
    </row>
    <row r="26" ht="42.75">
      <c r="A26" s="563"/>
      <c r="B26" s="512"/>
      <c r="C26" s="156">
        <v>8</v>
      </c>
      <c r="D26" s="206" t="s">
        <v>90</v>
      </c>
      <c r="E26" s="287">
        <v>1</v>
      </c>
      <c r="F26" s="392" t="s">
        <v>30</v>
      </c>
      <c r="G26" s="260" t="s">
        <v>943</v>
      </c>
      <c r="H26" s="19" t="s">
        <v>62</v>
      </c>
      <c r="I26" s="243" t="s">
        <v>70</v>
      </c>
    </row>
    <row r="27" ht="42.75">
      <c r="A27" s="563"/>
      <c r="B27" s="512"/>
      <c r="C27" s="156">
        <v>9</v>
      </c>
      <c r="D27" s="347" t="s">
        <v>98</v>
      </c>
      <c r="E27" s="306">
        <v>0.67000000000000004</v>
      </c>
      <c r="F27" s="467" t="s">
        <v>27</v>
      </c>
      <c r="G27" s="260" t="s">
        <v>944</v>
      </c>
      <c r="H27" s="19" t="s">
        <v>62</v>
      </c>
      <c r="I27" s="243" t="s">
        <v>70</v>
      </c>
    </row>
    <row r="28" ht="42.75">
      <c r="A28" s="563"/>
      <c r="B28" s="512"/>
      <c r="C28" s="311">
        <v>10</v>
      </c>
      <c r="D28" s="776" t="s">
        <v>82</v>
      </c>
      <c r="E28" s="544">
        <v>0</v>
      </c>
      <c r="F28" s="544" t="s">
        <v>161</v>
      </c>
      <c r="G28" s="82" t="s">
        <v>945</v>
      </c>
      <c r="H28" s="19" t="s">
        <v>62</v>
      </c>
      <c r="I28" s="243" t="s">
        <v>66</v>
      </c>
    </row>
    <row r="29" ht="28.5">
      <c r="A29" s="563"/>
      <c r="B29" s="512"/>
      <c r="C29" s="311">
        <v>11</v>
      </c>
      <c r="D29" s="260" t="s">
        <v>69</v>
      </c>
      <c r="E29" s="287">
        <v>1</v>
      </c>
      <c r="F29" s="392" t="s">
        <v>30</v>
      </c>
      <c r="G29" s="82" t="s">
        <v>946</v>
      </c>
      <c r="H29" s="19" t="s">
        <v>62</v>
      </c>
      <c r="I29" s="243" t="s">
        <v>70</v>
      </c>
    </row>
    <row r="30" ht="30">
      <c r="A30" s="563"/>
      <c r="B30" s="512"/>
      <c r="C30" s="311">
        <v>12</v>
      </c>
      <c r="D30" s="776" t="s">
        <v>61</v>
      </c>
      <c r="E30" s="544">
        <v>0</v>
      </c>
      <c r="F30" s="544" t="s">
        <v>161</v>
      </c>
      <c r="G30" s="82" t="s">
        <v>947</v>
      </c>
      <c r="H30" s="19" t="s">
        <v>62</v>
      </c>
      <c r="I30" s="243" t="s">
        <v>70</v>
      </c>
    </row>
    <row r="31" ht="30">
      <c r="A31" s="563"/>
      <c r="B31" s="512"/>
      <c r="C31" s="311">
        <v>13</v>
      </c>
      <c r="D31" s="776" t="s">
        <v>67</v>
      </c>
      <c r="E31" s="544">
        <v>0</v>
      </c>
      <c r="F31" s="544" t="s">
        <v>161</v>
      </c>
      <c r="G31" s="205" t="s">
        <v>948</v>
      </c>
      <c r="H31" s="19" t="s">
        <v>62</v>
      </c>
      <c r="I31" s="68" t="s">
        <v>66</v>
      </c>
    </row>
    <row r="32" ht="28.5">
      <c r="A32" s="563"/>
      <c r="B32" s="512"/>
      <c r="C32" s="311">
        <v>14</v>
      </c>
      <c r="D32" s="68" t="s">
        <v>85</v>
      </c>
      <c r="E32" s="68" t="s">
        <v>250</v>
      </c>
      <c r="F32" s="68" t="s">
        <v>251</v>
      </c>
      <c r="G32" s="82" t="s">
        <v>949</v>
      </c>
      <c r="H32" s="19" t="s">
        <v>62</v>
      </c>
      <c r="I32" s="82" t="s">
        <v>70</v>
      </c>
    </row>
    <row r="33" ht="28.5">
      <c r="A33" s="563"/>
      <c r="B33" s="512"/>
      <c r="C33" s="311">
        <v>15</v>
      </c>
      <c r="D33" s="82" t="s">
        <v>185</v>
      </c>
      <c r="E33" s="381">
        <v>1</v>
      </c>
      <c r="F33" s="381" t="s">
        <v>30</v>
      </c>
      <c r="G33" s="82" t="s">
        <v>950</v>
      </c>
      <c r="H33" s="19" t="s">
        <v>62</v>
      </c>
      <c r="I33" s="209" t="s">
        <v>63</v>
      </c>
    </row>
    <row r="34" ht="30">
      <c r="A34" s="563"/>
      <c r="B34" s="512"/>
      <c r="C34" s="311">
        <v>16</v>
      </c>
      <c r="D34" s="68" t="s">
        <v>72</v>
      </c>
      <c r="E34" s="544">
        <v>0</v>
      </c>
      <c r="F34" s="544" t="s">
        <v>161</v>
      </c>
      <c r="G34" s="68" t="s">
        <v>446</v>
      </c>
      <c r="H34" s="19" t="s">
        <v>62</v>
      </c>
      <c r="I34" s="209" t="s">
        <v>66</v>
      </c>
    </row>
    <row r="35" ht="30">
      <c r="A35" s="563"/>
      <c r="B35" s="512"/>
      <c r="C35" s="311">
        <v>17</v>
      </c>
      <c r="D35" s="68" t="s">
        <v>88</v>
      </c>
      <c r="E35" s="838">
        <v>0</v>
      </c>
      <c r="F35" s="544" t="s">
        <v>161</v>
      </c>
      <c r="G35" s="82" t="s">
        <v>951</v>
      </c>
      <c r="H35" s="19" t="s">
        <v>62</v>
      </c>
      <c r="I35" s="209" t="s">
        <v>66</v>
      </c>
    </row>
    <row r="36" ht="384.75">
      <c r="A36" s="563"/>
      <c r="B36" s="512"/>
      <c r="C36" s="101">
        <v>18</v>
      </c>
      <c r="D36" s="205" t="s">
        <v>93</v>
      </c>
      <c r="E36" s="381">
        <v>1</v>
      </c>
      <c r="F36" s="381" t="s">
        <v>30</v>
      </c>
      <c r="G36" s="82" t="s">
        <v>952</v>
      </c>
      <c r="H36" s="19" t="s">
        <v>62</v>
      </c>
      <c r="I36" s="68" t="s">
        <v>66</v>
      </c>
    </row>
    <row r="37" ht="42.75">
      <c r="A37" s="563"/>
      <c r="B37" s="512"/>
      <c r="C37" s="68">
        <v>19</v>
      </c>
      <c r="D37" s="82" t="s">
        <v>80</v>
      </c>
      <c r="E37" s="838">
        <v>0</v>
      </c>
      <c r="F37" s="544" t="s">
        <v>161</v>
      </c>
      <c r="G37" s="82" t="s">
        <v>953</v>
      </c>
      <c r="H37" s="19" t="s">
        <v>62</v>
      </c>
      <c r="I37" s="68" t="s">
        <v>70</v>
      </c>
    </row>
    <row r="38" ht="15">
      <c r="A38" s="563"/>
      <c r="B38" s="512"/>
      <c r="C38" s="68">
        <v>20</v>
      </c>
      <c r="D38" s="314" t="s">
        <v>91</v>
      </c>
      <c r="E38" s="312"/>
      <c r="F38" s="565"/>
      <c r="G38" s="82"/>
      <c r="H38" s="19"/>
      <c r="I38" s="68"/>
    </row>
    <row r="39" ht="114">
      <c r="A39" s="563"/>
      <c r="B39" s="512"/>
      <c r="C39" s="209">
        <v>21</v>
      </c>
      <c r="D39" s="209" t="s">
        <v>92</v>
      </c>
      <c r="E39" s="740">
        <v>0</v>
      </c>
      <c r="F39" s="544" t="s">
        <v>161</v>
      </c>
      <c r="G39" s="82" t="s">
        <v>954</v>
      </c>
      <c r="H39" s="19" t="s">
        <v>62</v>
      </c>
      <c r="I39" s="209" t="s">
        <v>63</v>
      </c>
    </row>
    <row r="40" ht="28.5">
      <c r="A40" s="563"/>
      <c r="B40" s="512"/>
      <c r="C40" s="209">
        <v>22</v>
      </c>
      <c r="D40" s="205" t="s">
        <v>74</v>
      </c>
      <c r="E40" s="485">
        <v>1</v>
      </c>
      <c r="F40" s="485" t="s">
        <v>30</v>
      </c>
      <c r="G40" s="82" t="s">
        <v>955</v>
      </c>
      <c r="H40" s="19" t="s">
        <v>62</v>
      </c>
      <c r="I40" s="209" t="s">
        <v>63</v>
      </c>
    </row>
    <row r="41" ht="30">
      <c r="A41" s="563"/>
      <c r="B41" s="512"/>
      <c r="C41" s="68">
        <v>23</v>
      </c>
      <c r="D41" s="82" t="s">
        <v>84</v>
      </c>
      <c r="E41" s="740">
        <v>0</v>
      </c>
      <c r="F41" s="544" t="s">
        <v>161</v>
      </c>
      <c r="G41" s="82" t="s">
        <v>956</v>
      </c>
      <c r="H41" s="19" t="s">
        <v>62</v>
      </c>
      <c r="I41" s="68" t="s">
        <v>70</v>
      </c>
    </row>
    <row r="42" ht="57">
      <c r="A42" s="563"/>
      <c r="B42" s="512"/>
      <c r="C42" s="68">
        <v>24</v>
      </c>
      <c r="D42" s="82" t="s">
        <v>77</v>
      </c>
      <c r="E42" s="740">
        <v>0</v>
      </c>
      <c r="F42" s="544" t="s">
        <v>161</v>
      </c>
      <c r="G42" s="205" t="s">
        <v>957</v>
      </c>
      <c r="H42" s="19" t="s">
        <v>62</v>
      </c>
      <c r="I42" s="68" t="s">
        <v>70</v>
      </c>
    </row>
    <row r="43" ht="15">
      <c r="A43" s="563"/>
      <c r="B43" s="512"/>
      <c r="C43" s="68">
        <v>25</v>
      </c>
      <c r="D43" s="68" t="s">
        <v>76</v>
      </c>
      <c r="E43" s="485">
        <v>1</v>
      </c>
      <c r="F43" s="485" t="s">
        <v>30</v>
      </c>
      <c r="G43" s="68" t="s">
        <v>958</v>
      </c>
      <c r="H43" s="19" t="s">
        <v>62</v>
      </c>
      <c r="I43" s="68" t="s">
        <v>70</v>
      </c>
    </row>
    <row r="44" ht="142.5">
      <c r="A44" s="566"/>
      <c r="B44" s="523"/>
      <c r="C44" s="209">
        <v>26</v>
      </c>
      <c r="D44" s="209" t="s">
        <v>96</v>
      </c>
      <c r="E44" s="316" t="s">
        <v>250</v>
      </c>
      <c r="F44" s="565" t="s">
        <v>251</v>
      </c>
      <c r="G44" s="82" t="s">
        <v>959</v>
      </c>
      <c r="H44" s="19" t="s">
        <v>62</v>
      </c>
      <c r="I44" s="19" t="s">
        <v>66</v>
      </c>
    </row>
    <row r="45" ht="15">
      <c r="C45" s="3"/>
      <c r="E45" s="676">
        <f>(E19+E20+E21+E22+E23+E24+E25+E26+E27+E28+E29+E30+E31+E33+E34+E35+E36+E37+E39+E40+E41+E42+E43)/25</f>
        <v>0.42680000000000001</v>
      </c>
      <c r="F45" s="742"/>
      <c r="G45" s="102"/>
    </row>
    <row r="46" ht="15">
      <c r="A46" s="302" t="s">
        <v>193</v>
      </c>
      <c r="B46" s="302"/>
      <c r="C46" s="302"/>
      <c r="D46" s="302"/>
      <c r="E46" s="302"/>
      <c r="F46" s="302"/>
      <c r="G46" s="302"/>
      <c r="H46" s="302"/>
      <c r="I46" s="302"/>
      <c r="J46" s="12"/>
    </row>
    <row r="47" ht="15">
      <c r="A47" s="839"/>
      <c r="B47" s="278"/>
      <c r="C47" s="278"/>
      <c r="D47" s="278"/>
      <c r="E47" s="278"/>
      <c r="F47" s="278"/>
      <c r="G47" s="278"/>
      <c r="H47" s="278"/>
      <c r="I47" s="278"/>
      <c r="J47" s="12"/>
      <c r="K47" t="s">
        <v>960</v>
      </c>
    </row>
    <row r="48" ht="75">
      <c r="A48" s="268" t="s">
        <v>853</v>
      </c>
      <c r="B48" s="168" t="s">
        <v>935</v>
      </c>
      <c r="C48" s="169"/>
      <c r="D48" s="170"/>
      <c r="E48" s="840">
        <v>0.42999999999999999</v>
      </c>
      <c r="F48" s="841" t="s">
        <v>24</v>
      </c>
      <c r="G48" s="168" t="s">
        <v>961</v>
      </c>
      <c r="H48" s="169"/>
      <c r="I48" s="170"/>
      <c r="J48" s="12"/>
    </row>
  </sheetData>
  <mergeCells count="12">
    <mergeCell ref="E2:F2"/>
    <mergeCell ref="A3:A11"/>
    <mergeCell ref="B3:B11"/>
    <mergeCell ref="A13:I13"/>
    <mergeCell ref="B15:D15"/>
    <mergeCell ref="G15:I15"/>
    <mergeCell ref="E18:F18"/>
    <mergeCell ref="A19:A44"/>
    <mergeCell ref="B19:B44"/>
    <mergeCell ref="A46:I46"/>
    <mergeCell ref="B48:D48"/>
    <mergeCell ref="G48:I4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Р7-Офис/2024.4.2.721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kononovaia1@headoffice.psbank.local</cp:lastModifiedBy>
  <cp:revision>73</cp:revision>
  <dcterms:modified xsi:type="dcterms:W3CDTF">2026-05-07T15:11:20Z</dcterms:modified>
</cp:coreProperties>
</file>